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8e4b4077940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ámetros" sheetId="1" r:id="R2c6dbf4bb9fa4855"/>
    <x:sheet xmlns:r="http://schemas.openxmlformats.org/officeDocument/2006/relationships" name="Boleta" sheetId="2" r:id="R3873d9ad6481442a"/>
    <x:sheet xmlns:r="http://schemas.openxmlformats.org/officeDocument/2006/relationships" name="Casos" sheetId="3" r:id="Rd84bb014470d4ac1"/>
    <x:sheet xmlns:r="http://schemas.openxmlformats.org/officeDocument/2006/relationships" name="Explicación" sheetId="4" r:id="R285033608859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.00;[Red]-#,##0.00"/>
    <x:numFmt numFmtId="202" formatCode="#,##0.00"/>
  </x:numFmts>
  <x:fonts count="5">
    <x:font>
      <x:sz val="11"/>
      <x:name val="Carlito"/>
    </x:font>
    <x:font>
      <x:sz val="11"/>
      <x:color rgb="FF172F40"/>
      <x:name val="Calibri"/>
    </x:font>
    <x:font>
      <x:b/>
      <x:sz val="11"/>
      <x:color rgb="FFFFFFFF"/>
      <x:name val="Calibri"/>
    </x:font>
    <x:font>
      <x:sz val="11"/>
      <x:color rgb="FF1565C0"/>
      <x:name val="Calibri"/>
    </x:font>
    <x:font>
      <x:b/>
      <x:sz val="11"/>
      <x:color rgb="FF07584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2344B"/>
      </x:patternFill>
    </x:fill>
    <x:fill>
      <x:patternFill patternType="solid">
        <x:fgColor rgb="FFD9F0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4" fillId="3" borderId="0" xfId="0" applyNumberFormat="1" applyFont="1" applyFill="1" applyBorder="1"/>
    <x:xf numFmtId="201" fontId="4" fillId="3" borderId="0" xfId="0" applyNumberFormat="1" applyFont="1" applyFill="1" applyBorder="1"/>
    <x:xf numFmtId="202" fontId="1" fillId="0" borderId="0" xfId="0" applyNumberFormat="1" applyFont="1" applyFill="1" applyBorder="1" applyAlignment="1">
      <x:alignment wrapText="1"/>
    </x:xf>
    <x:xf numFmtId="202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4b173154e04193" /><Relationship Type="http://schemas.openxmlformats.org/officeDocument/2006/relationships/theme" Target="/xl/theme/theme1.xml" Id="Rada53bfd776f42a4" /><Relationship Type="http://schemas.openxmlformats.org/officeDocument/2006/relationships/sharedStrings" Target="/xl/sharedStrings.xml" Id="R06037bc2dd24400e" /><Relationship Type="http://schemas.openxmlformats.org/officeDocument/2006/relationships/worksheet" Target="/xl/worksheets/sheet1.xml" Id="R2c6dbf4bb9fa4855" /><Relationship Type="http://schemas.openxmlformats.org/officeDocument/2006/relationships/worksheet" Target="/xl/worksheets/sheet2.xml" Id="R3873d9ad6481442a" /><Relationship Type="http://schemas.openxmlformats.org/officeDocument/2006/relationships/worksheet" Target="/xl/worksheets/sheet3.xml" Id="Rd84bb014470d4ac1" /><Relationship Type="http://schemas.openxmlformats.org/officeDocument/2006/relationships/worksheet" Target="/xl/worksheets/sheet4.xml" Id="R2850336088594e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48" hidden="0" customWidth="1"/>
    <x:col min="4" max="4" width="18" hidden="0" customWidth="1"/>
    <x:col min="5" max="5" width="65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Parámetros y fuentes de la boleta</x:v>
      </x:c>
      <x:c r="B1" s="3"/>
      <x:c r="C1" s="3"/>
      <x:c r="D1" s="3"/>
      <x:c r="E1" s="3"/>
      <x:c r="F1" s="1"/>
      <x:c r="G1" s="1"/>
      <x:c r="H1" s="1"/>
    </x:row>
    <x:row r="2" ht="24" customHeight="1">
      <x:c r="A2" s="1"/>
      <x:c r="B2" s="1"/>
      <x:c r="C2" s="1"/>
      <x:c r="D2" s="1"/>
      <x:c r="E2" s="1"/>
      <x:c r="F2" s="1"/>
      <x:c r="G2" s="1"/>
      <x:c r="H2" s="1"/>
    </x:row>
    <x:row r="3" ht="24" customHeight="1">
      <x:c r="A3" s="1" t="str">
        <x:v>Parámetro</x:v>
      </x:c>
      <x:c r="B3" s="1" t="str">
        <x:v>Valor</x:v>
      </x:c>
      <x:c r="C3" s="1" t="str">
        <x:v>Fuente o ámbito</x:v>
      </x:c>
      <x:c r="D3" s="1" t="str">
        <x:v>Consulta</x:v>
      </x:c>
      <x:c r="E3" s="1" t="str">
        <x:v>Enlace</x:v>
      </x:c>
      <x:c r="F3" s="1"/>
      <x:c r="G3" s="1"/>
      <x:c r="H3" s="1"/>
    </x:row>
    <x:row r="4" ht="24" customHeight="1">
      <x:c r="A4" s="1" t="str">
        <x:v>RMV</x:v>
      </x:c>
      <x:c r="B4" s="1" t="n">
        <x:v>1230</x:v>
      </x:c>
      <x:c r="C4" s="5" t="str">
        <x:v>D.S. 015-2026-TR, art. 1.2; desde 01/10/2026</x:v>
      </x:c>
      <x:c r="D4" s="5" t="str">
        <x:v>26/10/2026</x:v>
      </x:c>
      <x:c r="E4" s="5" t="str">
        <x:v>https://busquedas.elperuano.pe/dispositivo/EX/2559163-1</x:v>
      </x:c>
      <x:c r="F4" s="1"/>
      <x:c r="G4" s="1"/>
      <x:c r="H4" s="1"/>
    </x:row>
    <x:row r="5" ht="24" customHeight="1">
      <x:c r="A5" s="1" t="str">
        <x:v>Asignación familiar</x:v>
      </x:c>
      <x:c r="B5" s="4" t="n">
        <x:v>0.1</x:v>
      </x:c>
      <x:c r="C5" s="5" t="str">
        <x:v>Ley 25129; guía MTPE</x:v>
      </x:c>
      <x:c r="D5" s="5" t="str">
        <x:v>26/10/2026</x:v>
      </x:c>
      <x:c r="E5" s="5" t="str">
        <x:v>https://cdn.www.gob.pe/uploads/document/file/2899623/guia_asignacion_familiar.pdf</x:v>
      </x:c>
      <x:c r="F5" s="1"/>
      <x:c r="G5" s="1"/>
      <x:c r="H5" s="1"/>
    </x:row>
    <x:row r="6" ht="24" customHeight="1">
      <x:c r="A6" s="1" t="str">
        <x:v>ONP</x:v>
      </x:c>
      <x:c r="B6" s="4" t="n">
        <x:v>0.13</x:v>
      </x:c>
      <x:c r="C6" s="5" t="str">
        <x:v>D.L. 19990; SUNAT</x:v>
      </x:c>
      <x:c r="D6" s="5" t="str">
        <x:v>26/10/2026</x:v>
      </x:c>
      <x:c r="E6" s="5" t="str">
        <x:v>https://www.gob.pe/8076-declarar-y-pagar-aportes-de-trabajadores-del-hogar</x:v>
      </x:c>
      <x:c r="F6" s="1"/>
      <x:c r="G6" s="1"/>
      <x:c r="H6" s="1"/>
    </x:row>
    <x:row r="7" ht="24" customHeight="1">
      <x:c r="A7" s="1" t="str">
        <x:v>EsSalud</x:v>
      </x:c>
      <x:c r="B7" s="4" t="n">
        <x:v>0.09</x:v>
      </x:c>
      <x:c r="C7" s="5" t="str">
        <x:v>Ley 26790; SUNAT</x:v>
      </x:c>
      <x:c r="D7" s="5" t="str">
        <x:v>26/10/2026</x:v>
      </x:c>
      <x:c r="E7" s="5" t="str">
        <x:v>https://www.gob.pe/8076-declarar-y-pagar-aportes-de-trabajadores-del-hogar</x:v>
      </x:c>
      <x:c r="F7" s="1"/>
      <x:c r="G7" s="1"/>
      <x:c r="H7" s="1"/>
    </x:row>
    <x:row r="8" ht="24" customHeight="1">
      <x:c r="A8" s="1" t="str">
        <x:v>Días del mes</x:v>
      </x:c>
      <x:c r="B8" s="1" t="n">
        <x:v>30</x:v>
      </x:c>
      <x:c r="C8" s="5" t="str">
        <x:v>Convención de la actividad</x:v>
      </x:c>
      <x:c r="D8" s="5" t="str">
        <x:v>26/10/2026</x:v>
      </x:c>
      <x:c r="E8" s="5" t="str">
        <x:v>Actividad_Grupo_B.docx, sección 4</x:v>
      </x:c>
      <x:c r="F8" s="1"/>
      <x:c r="G8" s="1"/>
      <x:c r="H8" s="1"/>
    </x:row>
    <x:row r="9" ht="24" customHeight="1">
      <x:c r="A9" s="1" t="str">
        <x:v>Horas de jornada</x:v>
      </x:c>
      <x:c r="B9" s="1" t="n">
        <x:v>8</x:v>
      </x:c>
      <x:c r="C9" s="5" t="str">
        <x:v>Convención de la actividad</x:v>
      </x:c>
      <x:c r="D9" s="5" t="str">
        <x:v>26/10/2026</x:v>
      </x:c>
      <x:c r="E9" s="5" t="str">
        <x:v>Actividad_Grupo_B.docx, sección 4</x:v>
      </x:c>
      <x:c r="F9" s="1"/>
      <x:c r="G9" s="1"/>
      <x:c r="H9" s="1"/>
    </x:row>
    <x:row r="10" ht="24" customHeight="1">
      <x:c r="A10" s="1" t="str">
        <x:v>Factor HE 25%</x:v>
      </x:c>
      <x:c r="B10" s="1" t="n">
        <x:v>1.25</x:v>
      </x:c>
      <x:c r="C10" s="5" t="str">
        <x:v>Actividad; guía MTPE</x:v>
      </x:c>
      <x:c r="D10" s="5" t="str">
        <x:v>26/10/2026</x:v>
      </x:c>
      <x:c r="E10" s="5" t="str">
        <x:v>https://cdn.www.gob.pe/uploads/document/file/7176672/6152361-como-calcular-horas-extras.pdf</x:v>
      </x:c>
      <x:c r="F10" s="1"/>
      <x:c r="G10" s="1"/>
      <x:c r="H10" s="1"/>
    </x:row>
    <x:row r="11" ht="24" customHeight="1">
      <x:c r="A11" s="1" t="str">
        <x:v>Factor HE 35%</x:v>
      </x:c>
      <x:c r="B11" s="1" t="n">
        <x:v>1.35</x:v>
      </x:c>
      <x:c r="C11" s="5" t="str">
        <x:v>Actividad; guía MTPE</x:v>
      </x:c>
      <x:c r="D11" s="5" t="str">
        <x:v>26/10/2026</x:v>
      </x:c>
      <x:c r="E11" s="5" t="str">
        <x:v>https://cdn.www.gob.pe/uploads/document/file/7176672/6152361-como-calcular-horas-extras.pdf</x:v>
      </x:c>
      <x:c r="F11" s="1"/>
      <x:c r="G11" s="1"/>
      <x:c r="H11" s="1"/>
    </x:row>
    <x:row r="12" ht="24" customHeight="1">
      <x:c r="A12" s="1"/>
      <x:c r="B12" s="1"/>
      <x:c r="C12" s="5"/>
      <x:c r="D12" s="5"/>
      <x:c r="E12" s="5"/>
      <x:c r="F12" s="1"/>
      <x:c r="G12" s="1"/>
      <x:c r="H12" s="1"/>
    </x:row>
    <x:row r="13" ht="24" customHeight="1">
      <x:c r="A13" s="1"/>
      <x:c r="B13" s="1"/>
      <x:c r="C13" s="5"/>
      <x:c r="D13" s="5"/>
      <x:c r="E13" s="5"/>
      <x:c r="F13" s="1"/>
      <x:c r="G13" s="1"/>
      <x:c r="H13" s="1"/>
    </x:row>
    <x:row r="14" ht="30" customHeight="1">
      <x:c r="A14" s="3" t="str">
        <x:v>AFP · comisión sobre flujo · devengue octubre 2026</x:v>
      </x:c>
      <x:c r="B14" s="3"/>
      <x:c r="C14" s="6"/>
      <x:c r="D14" s="6"/>
      <x:c r="E14" s="6"/>
      <x:c r="F14" s="1"/>
      <x:c r="G14" s="1"/>
      <x:c r="H14" s="1"/>
    </x:row>
    <x:row r="15" ht="24" customHeight="1">
      <x:c r="A15" s="1" t="str">
        <x:v>AFP</x:v>
      </x:c>
      <x:c r="B15" s="1" t="str">
        <x:v>Fondo</x:v>
      </x:c>
      <x:c r="C15" s="5" t="str">
        <x:v>Comisión</x:v>
      </x:c>
      <x:c r="D15" s="5" t="str">
        <x:v>Seguro</x:v>
      </x:c>
      <x:c r="E15" s="5" t="str">
        <x:v>Fuente</x:v>
      </x:c>
      <x:c r="F15" s="1"/>
      <x:c r="G15" s="1"/>
      <x:c r="H15" s="1"/>
    </x:row>
    <x:row r="16" ht="24" customHeight="1">
      <x:c r="A16" s="1" t="str">
        <x:v>AFP Ejemplo</x:v>
      </x:c>
      <x:c r="B16" s="4" t="n">
        <x:v>0.1</x:v>
      </x:c>
      <x:c r="C16" s="7" t="n">
        <x:v>0.016</x:v>
      </x:c>
      <x:c r="D16" s="7" t="n">
        <x:v>0.0135</x:v>
      </x:c>
      <x:c r="E16" s="5" t="str">
        <x:v>Actividad: tasas de prueba</x:v>
      </x:c>
      <x:c r="F16" s="1"/>
      <x:c r="G16" s="1"/>
      <x:c r="H16" s="1"/>
    </x:row>
    <x:row r="17" ht="44" customHeight="1">
      <x:c r="A17" s="1" t="str">
        <x:v>Habitat (flujo)</x:v>
      </x:c>
      <x:c r="B17" s="4" t="n">
        <x:v>0.1</x:v>
      </x:c>
      <x:c r="C17" s="7" t="n">
        <x:v>0.0147</x:v>
      </x:c>
      <x:c r="D17" s="7" t="n">
        <x:v>0.0137</x:v>
      </x:c>
      <x:c r="E17" s="5" t="str">
        <x:v>https://www.sbs.gob.pe/app/spp/empleadores/comisiones_spp/paginas/comision_prima.aspx</x:v>
      </x:c>
      <x:c r="F17" s="1"/>
      <x:c r="G17" s="1"/>
      <x:c r="H17" s="1"/>
    </x:row>
    <x:row r="18" ht="44" customHeight="1">
      <x:c r="A18" s="1" t="str">
        <x:v>Integra (flujo)</x:v>
      </x:c>
      <x:c r="B18" s="4" t="n">
        <x:v>0.1</x:v>
      </x:c>
      <x:c r="C18" s="7" t="n">
        <x:v>0.0155</x:v>
      </x:c>
      <x:c r="D18" s="7" t="n">
        <x:v>0.0137</x:v>
      </x:c>
      <x:c r="E18" s="5" t="str">
        <x:v>https://www.sbs.gob.pe/app/spp/empleadores/comisiones_spp/paginas/comision_prima.aspx</x:v>
      </x:c>
      <x:c r="F18" s="1"/>
      <x:c r="G18" s="1"/>
      <x:c r="H18" s="1"/>
    </x:row>
    <x:row r="19" ht="44" customHeight="1">
      <x:c r="A19" s="1" t="str">
        <x:v>Prima (flujo)</x:v>
      </x:c>
      <x:c r="B19" s="4" t="n">
        <x:v>0.1</x:v>
      </x:c>
      <x:c r="C19" s="7" t="n">
        <x:v>0.016</x:v>
      </x:c>
      <x:c r="D19" s="7" t="n">
        <x:v>0.0137</x:v>
      </x:c>
      <x:c r="E19" s="5" t="str">
        <x:v>https://www.sbs.gob.pe/app/spp/empleadores/comisiones_spp/paginas/comision_prima.aspx</x:v>
      </x:c>
      <x:c r="F19" s="1"/>
      <x:c r="G19" s="1"/>
      <x:c r="H19" s="1"/>
    </x:row>
    <x:row r="20" ht="44" customHeight="1">
      <x:c r="A20" s="1" t="str">
        <x:v>Profuturo (flujo)</x:v>
      </x:c>
      <x:c r="B20" s="4" t="n">
        <x:v>0.1</x:v>
      </x:c>
      <x:c r="C20" s="7" t="n">
        <x:v>0.0169</x:v>
      </x:c>
      <x:c r="D20" s="7" t="n">
        <x:v>0.0137</x:v>
      </x:c>
      <x:c r="E20" s="5" t="str">
        <x:v>https://www.sbs.gob.pe/app/spp/empleadores/comisiones_spp/paginas/comision_prima.aspx</x:v>
      </x:c>
      <x:c r="F20" s="1"/>
      <x:c r="G20" s="1"/>
      <x:c r="H20" s="1"/>
    </x:row>
    <x:row r="21" ht="24" customHeight="1">
      <x:c r="A21" s="1"/>
      <x:c r="B21" s="1"/>
      <x:c r="C21" s="5"/>
      <x:c r="D21" s="5"/>
      <x:c r="E21" s="5"/>
      <x:c r="F21" s="1"/>
      <x:c r="G21" s="1"/>
      <x:c r="H21" s="1"/>
    </x:row>
    <x:row r="22" ht="24" customHeight="1">
      <x:c r="A22" s="1"/>
      <x:c r="B22" s="1"/>
      <x:c r="C22" s="5"/>
      <x:c r="D22" s="5"/>
      <x:c r="E22" s="5"/>
      <x:c r="F22" s="1"/>
      <x:c r="G22" s="1"/>
      <x:c r="H22" s="1"/>
    </x:row>
    <x:row r="23" ht="24" customHeight="1">
      <x:c r="A23" s="1" t="str">
        <x:v>Nota</x:v>
      </x:c>
      <x:c r="B23" s="5" t="str">
        <x:v>Las AFP reales usan comisión sobre flujo. Se mantienen las bases simplificadas de la actividad.</x:v>
      </x:c>
      <x:c r="C23" s="5"/>
      <x:c r="D23" s="5"/>
      <x:c r="E23" s="5"/>
      <x:c r="F23" s="1"/>
      <x:c r="G23" s="1"/>
      <x:c r="H23" s="1"/>
    </x:row>
    <x:row r="24" ht="24" customHeight="1">
      <x:c r="A24" s="1"/>
      <x:c r="B24" s="5"/>
      <x:c r="C24" s="5"/>
      <x:c r="D24" s="5"/>
      <x:c r="E24" s="5"/>
      <x:c r="F24" s="1"/>
      <x:c r="G24" s="1"/>
      <x:c r="H24" s="1"/>
    </x:row>
    <x:row r="25" ht="24" customHeight="1">
      <x:c r="A25" s="1"/>
      <x:c r="B25" s="1"/>
      <x:c r="C25" s="5"/>
      <x:c r="D25" s="5"/>
      <x:c r="E25" s="5"/>
      <x:c r="F25" s="1"/>
      <x:c r="G25" s="1"/>
      <x:c r="H25" s="1"/>
    </x:row>
    <x:row r="26" ht="64" customHeight="1">
      <x:c r="A26" s="1" t="str">
        <x:v>Oferta real</x:v>
      </x:c>
      <x:c r="B26" s="1" t="n">
        <x:v>2300</x:v>
      </x:c>
      <x:c r="C26" s="5" t="str">
        <x:v>Asistente administrativo; publicada 14/10/2026</x:v>
      </x:c>
      <x:c r="D26" s="5" t="str">
        <x:v>26/10/2026</x:v>
      </x:c>
      <x:c r="E26" s="5" t="str">
        <x:v>https://portalalumni.usilcorp.com/trabajar-en-transportes-pajuelo-y-cia-s-r-l/trabajos/asistente-administrativo/967724</x:v>
      </x:c>
      <x:c r="F26" s="1"/>
      <x:c r="G26" s="1"/>
      <x:c r="H26" s="1"/>
    </x:row>
    <x:row r="27" ht="64" customHeight="1">
      <x:c r="A27" s="1"/>
      <x:c r="B27" s="1"/>
      <x:c r="C27" s="5"/>
      <x:c r="D27" s="5"/>
      <x:c r="E27" s="5"/>
      <x:c r="F27" s="1"/>
      <x:c r="G27" s="1"/>
      <x:c r="H27" s="1"/>
    </x:row>
    <x:row r="28" ht="64" customHeight="1">
      <x:c r="A28" s="1" t="str">
        <x:v>Vigencia RMV</x:v>
      </x:c>
      <x:c r="B28" s="1" t="str">
        <x:v>01/10/2026</x:v>
      </x:c>
      <x:c r="C28" s="5" t="str">
        <x:v>S/ 1,230 según art. 1.2 del D.S. 015-2026-TR.</x:v>
      </x:c>
      <x:c r="D28" s="5" t="str">
        <x:v>26/10/2026</x:v>
      </x:c>
      <x:c r="E28" s="5" t="str">
        <x:v>https://busquedas.elperuano.pe/dispositivo/EX/2559163-1</x:v>
      </x:c>
      <x:c r="F28" s="1"/>
      <x:c r="G28" s="1"/>
      <x:c r="H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</x:row>
    <x:row r="66" ht="24" customHeight="1">
      <x:c r="A66" s="1"/>
      <x:c r="B66" s="1"/>
      <x:c r="C66" s="1"/>
      <x:c r="D66" s="1"/>
      <x:c r="E66" s="1"/>
      <x:c r="F66" s="1"/>
      <x:c r="G66" s="1"/>
      <x:c r="H66" s="1"/>
    </x:row>
    <x:row r="67" ht="24" customHeight="1">
      <x:c r="A67" s="1"/>
      <x:c r="B67" s="1"/>
      <x:c r="C67" s="1"/>
      <x:c r="D67" s="1"/>
      <x:c r="E67" s="1"/>
      <x:c r="F67" s="1"/>
      <x:c r="G67" s="1"/>
      <x:c r="H67" s="1"/>
    </x:row>
    <x:row r="68" ht="24" customHeight="1">
      <x:c r="A68" s="1"/>
      <x:c r="B68" s="1"/>
      <x:c r="C68" s="1"/>
      <x:c r="D68" s="1"/>
      <x:c r="E68" s="1"/>
      <x:c r="F68" s="1"/>
      <x:c r="G68" s="1"/>
      <x:c r="H68" s="1"/>
    </x:row>
    <x:row r="69" ht="24" customHeight="1">
      <x:c r="A69" s="1"/>
      <x:c r="B69" s="1"/>
      <x:c r="C69" s="1"/>
      <x:c r="D69" s="1"/>
      <x:c r="E69" s="1"/>
      <x:c r="F69" s="1"/>
      <x:c r="G69" s="1"/>
      <x:c r="H69" s="1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</x:row>
  </x:sheetData>
  <x:mergeCells>
    <x:mergeCell ref="A1:E1"/>
    <x:mergeCell ref="A14:E14"/>
    <x:mergeCell ref="B23:E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7" hidden="0" customWidth="1"/>
    <x:col min="4" max="4" width="27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Boleta de ejemplo</x:v>
      </x:c>
      <x:c r="B1" s="3"/>
      <x:c r="C1" s="3"/>
      <x:c r="D1" s="3"/>
      <x:c r="E1" s="1"/>
      <x:c r="F1" s="1"/>
      <x:c r="G1" s="1"/>
      <x:c r="H1" s="1"/>
    </x:row>
    <x:row r="2" ht="24" customHeight="1">
      <x:c r="A2" s="1"/>
      <x:c r="B2" s="1"/>
      <x:c r="C2" s="1"/>
      <x:c r="D2" s="1"/>
      <x:c r="E2" s="1"/>
      <x:c r="F2" s="1"/>
      <x:c r="G2" s="1"/>
      <x:c r="H2" s="1"/>
    </x:row>
    <x:row r="3" ht="24" customHeight="1">
      <x:c r="A3" s="1" t="str">
        <x:v>Caso seleccionado</x:v>
      </x:c>
      <x:c r="B3" s="1" t="n">
        <x:v>1</x:v>
      </x:c>
      <x:c r="C3" s="1" t="str">
        <x:v>Selecciona del 1 al 5</x:v>
      </x:c>
      <x:c r="D3" s="1"/>
      <x:c r="E3" s="1"/>
      <x:c r="F3" s="1"/>
      <x:c r="G3" s="1"/>
      <x:c r="H3" s="1"/>
    </x:row>
    <x:row r="4" ht="24" customHeight="1">
      <x:c r="A4" s="1" t="str">
        <x:v>Alex Ejemplo · Horizonte Académico S.A.C. · datos ficticios</x:v>
      </x:c>
      <x:c r="B4" s="1"/>
      <x:c r="C4" s="1"/>
      <x:c r="D4" s="1"/>
      <x:c r="E4" s="1"/>
      <x:c r="F4" s="1"/>
      <x:c r="G4" s="1"/>
      <x:c r="H4" s="1"/>
    </x:row>
    <x:row r="5" ht="24" customHeight="1">
      <x:c r="A5" s="1"/>
      <x:c r="B5" s="1"/>
      <x:c r="C5" s="1"/>
      <x:c r="D5" s="1"/>
      <x:c r="E5" s="1"/>
      <x:c r="F5" s="1"/>
      <x:c r="G5" s="1"/>
      <x:c r="H5" s="1"/>
    </x:row>
    <x:row r="6" ht="24" customHeight="1">
      <x:c r="A6" s="1" t="str">
        <x:v>Sueldo básico</x:v>
      </x:c>
      <x:c r="B6" s="1" t="n">
        <x:f>INDEX(Casos!$B$4:$F$4,1,$B$3)</x:f>
        <x:v>2500</x:v>
      </x:c>
      <x:c r="C6" s="1"/>
      <x:c r="D6" s="1"/>
      <x:c r="E6" s="1"/>
      <x:c r="F6" s="1"/>
      <x:c r="G6" s="1"/>
      <x:c r="H6" s="1"/>
    </x:row>
    <x:row r="7" ht="24" customHeight="1">
      <x:c r="A7" s="1" t="str">
        <x:v>Días laborados</x:v>
      </x:c>
      <x:c r="B7" s="1" t="n">
        <x:f>INDEX(Casos!$B$5:$F$5,1,$B$3)</x:f>
        <x:v>30</x:v>
      </x:c>
      <x:c r="C7" s="1"/>
      <x:c r="D7" s="1"/>
      <x:c r="E7" s="1"/>
      <x:c r="F7" s="1"/>
      <x:c r="G7" s="1"/>
      <x:c r="H7" s="1"/>
    </x:row>
    <x:row r="8" ht="24" customHeight="1">
      <x:c r="A8" s="1" t="str">
        <x:v>Hijos (1 sí / 0 no)</x:v>
      </x:c>
      <x:c r="B8" s="1" t="n">
        <x:f>INDEX(Casos!$B$6:$F$6,1,$B$3)</x:f>
        <x:v>0</x:v>
      </x:c>
      <x:c r="C8" s="1"/>
      <x:c r="D8" s="1"/>
      <x:c r="E8" s="1"/>
      <x:c r="F8" s="1"/>
      <x:c r="G8" s="1"/>
      <x:c r="H8" s="1"/>
    </x:row>
    <x:row r="9" ht="24" customHeight="1">
      <x:c r="A9" s="1" t="str">
        <x:v>Sistema</x:v>
      </x:c>
      <x:c r="B9" s="1" t="str">
        <x:f>INDEX(Casos!$B$7:$F$7,1,$B$3)</x:f>
        <x:v>ONP</x:v>
      </x:c>
      <x:c r="C9" s="1"/>
      <x:c r="D9" s="1"/>
      <x:c r="E9" s="1"/>
      <x:c r="F9" s="1"/>
      <x:c r="G9" s="1"/>
      <x:c r="H9" s="1"/>
    </x:row>
    <x:row r="10" ht="24" customHeight="1">
      <x:c r="A10" s="1" t="str">
        <x:v>AFP</x:v>
      </x:c>
      <x:c r="B10" s="1" t="str">
        <x:f>INDEX(Casos!$B$8:$F$8,1,$B$3)</x:f>
        <x:v>AFP Ejemplo</x:v>
      </x:c>
      <x:c r="C10" s="1"/>
      <x:c r="D10" s="1"/>
      <x:c r="E10" s="1"/>
      <x:c r="F10" s="1"/>
      <x:c r="G10" s="1"/>
      <x:c r="H10" s="1"/>
    </x:row>
    <x:row r="11" ht="24" customHeight="1">
      <x:c r="A11" s="1" t="str">
        <x:v>Horas al 25%</x:v>
      </x:c>
      <x:c r="B11" s="1" t="n">
        <x:f>INDEX(Casos!$B$9:$F$9,1,$B$3)</x:f>
        <x:v>0</x:v>
      </x:c>
      <x:c r="C11" s="1"/>
      <x:c r="D11" s="1"/>
      <x:c r="E11" s="1"/>
      <x:c r="F11" s="1"/>
      <x:c r="G11" s="1"/>
      <x:c r="H11" s="1"/>
    </x:row>
    <x:row r="12" ht="24" customHeight="1">
      <x:c r="A12" s="1" t="str">
        <x:v>Horas al 35%</x:v>
      </x:c>
      <x:c r="B12" s="1" t="n">
        <x:f>INDEX(Casos!$B$10:$F$10,1,$B$3)</x:f>
        <x:v>0</x:v>
      </x:c>
      <x:c r="C12" s="1"/>
      <x:c r="D12" s="1"/>
      <x:c r="E12" s="1"/>
      <x:c r="F12" s="1"/>
      <x:c r="G12" s="1"/>
      <x:c r="H12" s="1"/>
    </x:row>
    <x:row r="13" ht="24" customHeight="1">
      <x:c r="A13" s="1" t="str">
        <x:v>Adelantos</x:v>
      </x:c>
      <x:c r="B13" s="1" t="n">
        <x:f>INDEX(Casos!$B$11:$F$11,1,$B$3)</x:f>
        <x:v>0</x:v>
      </x:c>
      <x:c r="C13" s="1"/>
      <x:c r="D13" s="1"/>
      <x:c r="E13" s="1"/>
      <x:c r="F13" s="1"/>
      <x:c r="G13" s="1"/>
      <x:c r="H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</x:row>
    <x:row r="15" ht="30" customHeight="1">
      <x:c r="A15" s="3" t="str">
        <x:v>REMUNERACIONES</x:v>
      </x:c>
      <x:c r="B15" s="3"/>
      <x:c r="C15" s="3"/>
      <x:c r="D15" s="3"/>
      <x:c r="E15" s="1"/>
      <x:c r="F15" s="1"/>
      <x:c r="G15" s="1"/>
      <x:c r="H15" s="1"/>
    </x:row>
    <x:row r="16" ht="24" customHeight="1">
      <x:c r="A16" s="1" t="str">
        <x:v>Sueldo computable</x:v>
      </x:c>
      <x:c r="B16" s="9" t="n">
        <x:f>INDEX(Casos!$B$13:$F$13,1,$B$3)</x:f>
        <x:v>2500</x:v>
      </x:c>
      <x:c r="C16" s="1" t="str">
        <x:v>=INDEX(Casos!B13:F13,1,B3)</x:v>
      </x:c>
      <x:c r="D16" s="1"/>
      <x:c r="E16" s="1"/>
      <x:c r="F16" s="1"/>
      <x:c r="G16" s="1"/>
      <x:c r="H16" s="1"/>
    </x:row>
    <x:row r="17" ht="24" customHeight="1">
      <x:c r="A17" s="1" t="str">
        <x:v>Asignación familiar</x:v>
      </x:c>
      <x:c r="B17" s="9" t="n">
        <x:f>INDEX(Casos!$B$14:$F$14,1,$B$3)</x:f>
        <x:v>0</x:v>
      </x:c>
      <x:c r="C17" s="1" t="str">
        <x:v>=INDEX(Casos!B14:F14,1,B3)</x:v>
      </x:c>
      <x:c r="D17" s="1"/>
      <x:c r="E17" s="1"/>
      <x:c r="F17" s="1"/>
      <x:c r="G17" s="1"/>
      <x:c r="H17" s="1"/>
    </x:row>
    <x:row r="18" ht="24" customHeight="1">
      <x:c r="A18" s="1" t="str">
        <x:v>Horas extras 25%</x:v>
      </x:c>
      <x:c r="B18" s="9" t="n">
        <x:f>INDEX(Casos!$B$15:$F$15,1,$B$3)</x:f>
        <x:v>0</x:v>
      </x:c>
      <x:c r="C18" s="1" t="str">
        <x:v>=INDEX(Casos!B15:F15,1,B3)</x:v>
      </x:c>
      <x:c r="D18" s="1"/>
      <x:c r="E18" s="1"/>
      <x:c r="F18" s="1"/>
      <x:c r="G18" s="1"/>
      <x:c r="H18" s="1"/>
    </x:row>
    <x:row r="19" ht="24" customHeight="1">
      <x:c r="A19" s="1" t="str">
        <x:v>Horas extras 35%</x:v>
      </x:c>
      <x:c r="B19" s="9" t="n">
        <x:f>INDEX(Casos!$B$16:$F$16,1,$B$3)</x:f>
        <x:v>0</x:v>
      </x:c>
      <x:c r="C19" s="1" t="str">
        <x:v>=INDEX(Casos!B16:F16,1,B3)</x:v>
      </x:c>
      <x:c r="D19" s="1"/>
      <x:c r="E19" s="1"/>
      <x:c r="F19" s="1"/>
      <x:c r="G19" s="1"/>
      <x:c r="H19" s="1"/>
    </x:row>
    <x:row r="20" ht="24" customHeight="1">
      <x:c r="A20" s="1" t="str">
        <x:v>Total remuneraciones</x:v>
      </x:c>
      <x:c r="B20" s="9" t="n">
        <x:f>INDEX(Casos!$B$17:$F$17,1,$B$3)</x:f>
        <x:v>2500</x:v>
      </x:c>
      <x:c r="C20" s="1" t="str">
        <x:v>=INDEX(Casos!B17:F17,1,B3)</x:v>
      </x:c>
      <x:c r="D20" s="1"/>
      <x:c r="E20" s="1"/>
      <x:c r="F20" s="1"/>
      <x:c r="G20" s="1"/>
      <x:c r="H20" s="1"/>
    </x:row>
    <x:row r="21" ht="24" customHeight="1">
      <x:c r="A21" s="1"/>
      <x:c r="B21" s="9"/>
      <x:c r="C21" s="1"/>
      <x:c r="D21" s="1"/>
      <x:c r="E21" s="1"/>
      <x:c r="F21" s="1"/>
      <x:c r="G21" s="1"/>
      <x:c r="H21" s="1"/>
    </x:row>
    <x:row r="22" ht="30" customHeight="1">
      <x:c r="A22" s="3" t="str">
        <x:v>RETENCIONES / DESCUENTOS</x:v>
      </x:c>
      <x:c r="B22" s="11"/>
      <x:c r="C22" s="3"/>
      <x:c r="D22" s="3"/>
      <x:c r="E22" s="1"/>
      <x:c r="F22" s="1"/>
      <x:c r="G22" s="1"/>
      <x:c r="H22" s="1"/>
    </x:row>
    <x:row r="23" ht="24" customHeight="1">
      <x:c r="A23" s="1" t="str">
        <x:v>ONP</x:v>
      </x:c>
      <x:c r="B23" s="9" t="n">
        <x:f>INDEX(Casos!$B$19:$F$19,1,$B$3)</x:f>
        <x:v>325</x:v>
      </x:c>
      <x:c r="C23" s="1" t="str">
        <x:v>=INDEX(Casos!B19:F19,1,B3)</x:v>
      </x:c>
      <x:c r="D23" s="1"/>
      <x:c r="E23" s="1"/>
      <x:c r="F23" s="1"/>
      <x:c r="G23" s="1"/>
      <x:c r="H23" s="1"/>
    </x:row>
    <x:row r="24" ht="24" customHeight="1">
      <x:c r="A24" s="1" t="str">
        <x:v>AFP fondo</x:v>
      </x:c>
      <x:c r="B24" s="9" t="n">
        <x:f>INDEX(Casos!$B$20:$F$20,1,$B$3)</x:f>
        <x:v>0</x:v>
      </x:c>
      <x:c r="C24" s="1" t="str">
        <x:v>=INDEX(Casos!B20:F20,1,B3)</x:v>
      </x:c>
      <x:c r="D24" s="1"/>
      <x:c r="E24" s="1"/>
      <x:c r="F24" s="1"/>
      <x:c r="G24" s="1"/>
      <x:c r="H24" s="1"/>
    </x:row>
    <x:row r="25" ht="24" customHeight="1">
      <x:c r="A25" s="1" t="str">
        <x:v>AFP comisión</x:v>
      </x:c>
      <x:c r="B25" s="9" t="n">
        <x:f>INDEX(Casos!$B$21:$F$21,1,$B$3)</x:f>
        <x:v>0</x:v>
      </x:c>
      <x:c r="C25" s="1" t="str">
        <x:v>=INDEX(Casos!B21:F21,1,B3)</x:v>
      </x:c>
      <x:c r="D25" s="1"/>
      <x:c r="E25" s="1"/>
      <x:c r="F25" s="1"/>
      <x:c r="G25" s="1"/>
      <x:c r="H25" s="1"/>
    </x:row>
    <x:row r="26" ht="24" customHeight="1">
      <x:c r="A26" s="1" t="str">
        <x:v>AFP seguro</x:v>
      </x:c>
      <x:c r="B26" s="9" t="n">
        <x:f>INDEX(Casos!$B$22:$F$22,1,$B$3)</x:f>
        <x:v>0</x:v>
      </x:c>
      <x:c r="C26" s="1" t="str">
        <x:v>=INDEX(Casos!B22:F22,1,B3)</x:v>
      </x:c>
      <x:c r="D26" s="1"/>
      <x:c r="E26" s="1"/>
      <x:c r="F26" s="1"/>
      <x:c r="G26" s="1"/>
      <x:c r="H26" s="1"/>
    </x:row>
    <x:row r="27" ht="24" customHeight="1">
      <x:c r="A27" s="1" t="str">
        <x:v>Adelantos</x:v>
      </x:c>
      <x:c r="B27" s="9" t="n">
        <x:f>INDEX(Casos!$B$23:$F$23,1,$B$3)</x:f>
        <x:v>0</x:v>
      </x:c>
      <x:c r="C27" s="1" t="str">
        <x:v>=INDEX(Casos!B23:F23,1,B3)</x:v>
      </x:c>
      <x:c r="D27" s="1"/>
      <x:c r="E27" s="1"/>
      <x:c r="F27" s="1"/>
      <x:c r="G27" s="1"/>
      <x:c r="H27" s="1"/>
    </x:row>
    <x:row r="28" ht="24" customHeight="1">
      <x:c r="A28" s="1" t="str">
        <x:v>Total descuentos</x:v>
      </x:c>
      <x:c r="B28" s="9" t="n">
        <x:f>INDEX(Casos!$B$24:$F$24,1,$B$3)</x:f>
        <x:v>325</x:v>
      </x:c>
      <x:c r="C28" s="1" t="str">
        <x:v>=INDEX(Casos!B24:F24,1,B3)</x:v>
      </x:c>
      <x:c r="D28" s="1"/>
      <x:c r="E28" s="1"/>
      <x:c r="F28" s="1"/>
      <x:c r="G28" s="1"/>
      <x:c r="H28" s="1"/>
    </x:row>
    <x:row r="29" ht="24" customHeight="1">
      <x:c r="A29" s="1"/>
      <x:c r="B29" s="9"/>
      <x:c r="C29" s="1"/>
      <x:c r="D29" s="1"/>
      <x:c r="E29" s="1"/>
      <x:c r="F29" s="1"/>
      <x:c r="G29" s="1"/>
      <x:c r="H29" s="1"/>
    </x:row>
    <x:row r="30" ht="30" customHeight="1">
      <x:c r="A30" s="3" t="str">
        <x:v>APORTACIONES DEL EMPLEADOR</x:v>
      </x:c>
      <x:c r="B30" s="11"/>
      <x:c r="C30" s="3"/>
      <x:c r="D30" s="3"/>
      <x:c r="E30" s="1"/>
      <x:c r="F30" s="1"/>
      <x:c r="G30" s="1"/>
      <x:c r="H30" s="1"/>
    </x:row>
    <x:row r="31" ht="24" customHeight="1">
      <x:c r="A31" s="1" t="str">
        <x:v>EsSalud empleador</x:v>
      </x:c>
      <x:c r="B31" s="9" t="n">
        <x:f>INDEX(Casos!$B$27:$F$27,1,$B$3)</x:f>
        <x:v>225</x:v>
      </x:c>
      <x:c r="C31" s="1" t="str">
        <x:v>=INDEX(Casos!B27:F27,1,B3)</x:v>
      </x:c>
      <x:c r="D31" s="1"/>
      <x:c r="E31" s="1"/>
      <x:c r="F31" s="1"/>
      <x:c r="G31" s="1"/>
      <x:c r="H31" s="1"/>
    </x:row>
    <x:row r="32" ht="24" customHeight="1">
      <x:c r="A32" s="1"/>
      <x:c r="B32" s="9"/>
      <x:c r="C32" s="1"/>
      <x:c r="D32" s="1"/>
      <x:c r="E32" s="1"/>
      <x:c r="F32" s="1"/>
      <x:c r="G32" s="1"/>
      <x:c r="H32" s="1"/>
    </x:row>
    <x:row r="33" ht="24" customHeight="1">
      <x:c r="A33" s="1"/>
      <x:c r="B33" s="9"/>
      <x:c r="C33" s="1"/>
      <x:c r="D33" s="1"/>
      <x:c r="E33" s="1"/>
      <x:c r="F33" s="1"/>
      <x:c r="G33" s="1"/>
      <x:c r="H33" s="1"/>
    </x:row>
    <x:row r="34" ht="36" customHeight="1">
      <x:c r="A34" s="14" t="str">
        <x:v>Neto a pagar</x:v>
      </x:c>
      <x:c r="B34" s="15" t="n">
        <x:f>INDEX(Casos!$B$26:$F$26,1,$B$3)</x:f>
        <x:v>2175</x:v>
      </x:c>
      <x:c r="C34" s="14" t="str">
        <x:v>=INDEX(Casos!B26:F26,1,B3)</x:v>
      </x:c>
      <x:c r="D34" s="14"/>
      <x:c r="E34" s="1"/>
      <x:c r="F34" s="1"/>
      <x:c r="G34" s="1"/>
      <x:c r="H34" s="1"/>
    </x:row>
    <x:row r="35" ht="24" customHeight="1">
      <x:c r="A35" s="1"/>
      <x:c r="B35" s="9"/>
      <x:c r="C35" s="1"/>
      <x:c r="D35" s="1"/>
      <x:c r="E35" s="1"/>
      <x:c r="F35" s="1"/>
      <x:c r="G35" s="1"/>
      <x:c r="H35" s="1"/>
    </x:row>
    <x:row r="36" ht="24" customHeight="1">
      <x:c r="A36" s="1" t="str">
        <x:v>Costo empleador</x:v>
      </x:c>
      <x:c r="B36" s="9" t="n">
        <x:f>INDEX(Casos!$B$28:$F$28,1,$B$3)</x:f>
        <x:v>2725</x:v>
      </x:c>
      <x:c r="C36" s="1" t="str">
        <x:v>=INDEX(Casos!B28:F28,1,B3)</x:v>
      </x:c>
      <x:c r="D36" s="1"/>
      <x:c r="E36" s="1"/>
      <x:c r="F36" s="1"/>
      <x:c r="G36" s="1"/>
      <x:c r="H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</x:row>
    <x:row r="38" ht="24" customHeight="1">
      <x:c r="A38" s="5" t="str">
        <x:v>EsSalud no se descuenta del neto. Para modificar entradas, edita las celdas azules de Casos.</x:v>
      </x:c>
      <x:c r="B38" s="5"/>
      <x:c r="C38" s="5"/>
      <x:c r="D38" s="5"/>
      <x:c r="E38" s="1"/>
      <x:c r="F38" s="1"/>
      <x:c r="G38" s="1"/>
      <x:c r="H38" s="1"/>
    </x:row>
    <x:row r="39" ht="24" customHeight="1">
      <x:c r="A39" s="5"/>
      <x:c r="B39" s="5"/>
      <x:c r="C39" s="5"/>
      <x:c r="D39" s="5"/>
      <x:c r="E39" s="1"/>
      <x:c r="F39" s="1"/>
      <x:c r="G39" s="1"/>
      <x:c r="H39" s="1"/>
    </x:row>
    <x:row r="40" ht="24" customHeight="1">
      <x:c r="A40" s="5"/>
      <x:c r="B40" s="5"/>
      <x:c r="C40" s="5"/>
      <x:c r="D40" s="5"/>
      <x:c r="E40" s="1"/>
      <x:c r="F40" s="1"/>
      <x:c r="G40" s="1"/>
      <x:c r="H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</x:row>
    <x:row r="66" ht="24" customHeight="1">
      <x:c r="A66" s="1"/>
      <x:c r="B66" s="1"/>
      <x:c r="C66" s="1"/>
      <x:c r="D66" s="1"/>
      <x:c r="E66" s="1"/>
      <x:c r="F66" s="1"/>
      <x:c r="G66" s="1"/>
      <x:c r="H66" s="1"/>
    </x:row>
    <x:row r="67" ht="24" customHeight="1">
      <x:c r="A67" s="1"/>
      <x:c r="B67" s="1"/>
      <x:c r="C67" s="1"/>
      <x:c r="D67" s="1"/>
      <x:c r="E67" s="1"/>
      <x:c r="F67" s="1"/>
      <x:c r="G67" s="1"/>
      <x:c r="H67" s="1"/>
    </x:row>
    <x:row r="68" ht="24" customHeight="1">
      <x:c r="A68" s="1"/>
      <x:c r="B68" s="1"/>
      <x:c r="C68" s="1"/>
      <x:c r="D68" s="1"/>
      <x:c r="E68" s="1"/>
      <x:c r="F68" s="1"/>
      <x:c r="G68" s="1"/>
      <x:c r="H68" s="1"/>
    </x:row>
    <x:row r="69" ht="24" customHeight="1">
      <x:c r="A69" s="1"/>
      <x:c r="B69" s="1"/>
      <x:c r="C69" s="1"/>
      <x:c r="D69" s="1"/>
      <x:c r="E69" s="1"/>
      <x:c r="F69" s="1"/>
      <x:c r="G69" s="1"/>
      <x:c r="H69" s="1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</x:row>
  </x:sheetData>
  <x:mergeCells>
    <x:mergeCell ref="A1:D1"/>
    <x:mergeCell ref="A4:D4"/>
    <x:mergeCell ref="A15:D15"/>
    <x:mergeCell ref="A22:D22"/>
    <x:mergeCell ref="A30:D30"/>
    <x:mergeCell ref="C16:D16"/>
    <x:mergeCell ref="C17:D17"/>
    <x:mergeCell ref="C18:D18"/>
    <x:mergeCell ref="C19:D19"/>
    <x:mergeCell ref="C20:D20"/>
    <x:mergeCell ref="C23:D23"/>
    <x:mergeCell ref="C24:D24"/>
    <x:mergeCell ref="C25:D25"/>
    <x:mergeCell ref="C26:D26"/>
    <x:mergeCell ref="C27:D27"/>
    <x:mergeCell ref="C28:D28"/>
    <x:mergeCell ref="C31:D31"/>
    <x:mergeCell ref="C34:D34"/>
    <x:mergeCell ref="C36:D36"/>
    <x:mergeCell ref="A38:D40"/>
  </x:mergeCells>
  <x:dataValidations count="1">
    <x:dataValidation type="whole" operator="between" sqref="B3">
      <x:formula1>1</x:formula1>
      <x:formula2>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Casos y control cruzado al centavo</x:v>
      </x:c>
      <x:c r="B1" s="3"/>
      <x:c r="C1" s="3"/>
      <x:c r="D1" s="3"/>
      <x:c r="E1" s="3"/>
      <x:c r="F1" s="3"/>
      <x:c r="G1" s="3"/>
      <x:c r="H1" s="3"/>
    </x:row>
    <x:row r="2" ht="24" customHeight="1">
      <x:c r="A2" s="1"/>
      <x:c r="B2" s="1"/>
      <x:c r="C2" s="1"/>
      <x:c r="D2" s="1"/>
      <x:c r="E2" s="1"/>
      <x:c r="F2" s="1"/>
      <x:c r="G2" s="1"/>
      <x:c r="H2" s="1"/>
    </x:row>
    <x:row r="3" ht="24" customHeight="1">
      <x:c r="A3" s="1" t="str">
        <x:v>Concepto</x:v>
      </x:c>
      <x:c r="B3" s="1" t="str">
        <x:v>Caso 1</x:v>
      </x:c>
      <x:c r="C3" s="1" t="str">
        <x:v>Caso 2</x:v>
      </x:c>
      <x:c r="D3" s="1" t="str">
        <x:v>Caso 3</x:v>
      </x:c>
      <x:c r="E3" s="1" t="str">
        <x:v>Caso 4</x:v>
      </x:c>
      <x:c r="F3" s="1" t="str">
        <x:v>Oferta real</x:v>
      </x:c>
      <x:c r="G3" s="1" t="str">
        <x:v>Compañero 1</x:v>
      </x:c>
      <x:c r="H3" s="1" t="str">
        <x:v>Compañero 2</x:v>
      </x:c>
    </x:row>
    <x:row r="4" ht="24" customHeight="1">
      <x:c r="A4" s="1" t="str">
        <x:v>Sueldo básico</x:v>
      </x:c>
      <x:c r="B4" s="8" t="n">
        <x:v>2500</x:v>
      </x:c>
      <x:c r="C4" s="8" t="n">
        <x:v>1800</x:v>
      </x:c>
      <x:c r="D4" s="8" t="n">
        <x:v>3000</x:v>
      </x:c>
      <x:c r="E4" s="8" t="n">
        <x:v>4200</x:v>
      </x:c>
      <x:c r="F4" s="8" t="n">
        <x:v>2300</x:v>
      </x:c>
      <x:c r="G4" s="8"/>
      <x:c r="H4" s="8"/>
    </x:row>
    <x:row r="5" ht="24" customHeight="1">
      <x:c r="A5" s="1" t="str">
        <x:v>Días laborados</x:v>
      </x:c>
      <x:c r="B5" s="8" t="n">
        <x:v>30</x:v>
      </x:c>
      <x:c r="C5" s="8" t="n">
        <x:v>27</x:v>
      </x:c>
      <x:c r="D5" s="8" t="n">
        <x:v>30</x:v>
      </x:c>
      <x:c r="E5" s="8" t="n">
        <x:v>24</x:v>
      </x:c>
      <x:c r="F5" s="8" t="n">
        <x:v>30</x:v>
      </x:c>
      <x:c r="G5" s="8" t="n">
        <x:v>30</x:v>
      </x:c>
      <x:c r="H5" s="8" t="n">
        <x:v>30</x:v>
      </x:c>
    </x:row>
    <x:row r="6" ht="24" customHeight="1">
      <x:c r="A6" s="1" t="str">
        <x:v>Hijos (1 sí / 0 no)</x:v>
      </x:c>
      <x:c r="B6" s="8" t="n">
        <x:v>0</x:v>
      </x:c>
      <x:c r="C6" s="8" t="n">
        <x:v>1</x:v>
      </x:c>
      <x:c r="D6" s="8" t="n">
        <x:v>1</x:v>
      </x:c>
      <x:c r="E6" s="8" t="n">
        <x:v>1</x:v>
      </x:c>
      <x:c r="F6" s="8" t="n">
        <x:v>0</x:v>
      </x:c>
      <x:c r="G6" s="8" t="n">
        <x:v>0</x:v>
      </x:c>
      <x:c r="H6" s="8" t="n">
        <x:v>0</x:v>
      </x:c>
    </x:row>
    <x:row r="7" ht="24" customHeight="1">
      <x:c r="A7" s="1" t="str">
        <x:v>Sistema</x:v>
      </x:c>
      <x:c r="B7" s="8" t="str">
        <x:v>ONP</x:v>
      </x:c>
      <x:c r="C7" s="8" t="str">
        <x:v>ONP</x:v>
      </x:c>
      <x:c r="D7" s="8" t="str">
        <x:v>AFP</x:v>
      </x:c>
      <x:c r="E7" s="8" t="str">
        <x:v>AFP</x:v>
      </x:c>
      <x:c r="F7" s="8" t="str">
        <x:v>AFP</x:v>
      </x:c>
      <x:c r="G7" s="8" t="str">
        <x:v>ONP</x:v>
      </x:c>
      <x:c r="H7" s="8" t="str">
        <x:v>ONP</x:v>
      </x:c>
    </x:row>
    <x:row r="8" ht="42" customHeight="1">
      <x:c r="A8" s="1" t="str">
        <x:v>AFP</x:v>
      </x:c>
      <x:c r="B8" s="10" t="str">
        <x:v>AFP Ejemplo</x:v>
      </x:c>
      <x:c r="C8" s="10" t="str">
        <x:v>AFP Ejemplo</x:v>
      </x:c>
      <x:c r="D8" s="10" t="str">
        <x:v>AFP Ejemplo</x:v>
      </x:c>
      <x:c r="E8" s="10" t="str">
        <x:v>AFP Ejemplo</x:v>
      </x:c>
      <x:c r="F8" s="10" t="str">
        <x:v>Prima (flujo)</x:v>
      </x:c>
      <x:c r="G8" s="10" t="str">
        <x:v>AFP Ejemplo</x:v>
      </x:c>
      <x:c r="H8" s="10" t="str">
        <x:v>AFP Ejemplo</x:v>
      </x:c>
    </x:row>
    <x:row r="9" ht="24" customHeight="1">
      <x:c r="A9" s="1" t="str">
        <x:v>Horas al 25%</x:v>
      </x:c>
      <x:c r="B9" s="8" t="n">
        <x:v>0</x:v>
      </x:c>
      <x:c r="C9" s="8" t="n">
        <x:v>0</x:v>
      </x:c>
      <x:c r="D9" s="8" t="n">
        <x:v>4</x:v>
      </x:c>
      <x:c r="E9" s="8" t="n">
        <x:v>2</x:v>
      </x:c>
      <x:c r="F9" s="8" t="n">
        <x:v>0</x:v>
      </x:c>
      <x:c r="G9" s="8" t="n">
        <x:v>0</x:v>
      </x:c>
      <x:c r="H9" s="8" t="n">
        <x:v>0</x:v>
      </x:c>
    </x:row>
    <x:row r="10" ht="24" customHeight="1">
      <x:c r="A10" s="1" t="str">
        <x:v>Horas al 35%</x:v>
      </x:c>
      <x:c r="B10" s="8" t="n">
        <x:v>0</x:v>
      </x:c>
      <x:c r="C10" s="8" t="n">
        <x:v>0</x:v>
      </x:c>
      <x:c r="D10" s="8" t="n">
        <x:v>4</x:v>
      </x:c>
      <x:c r="E10" s="8" t="n">
        <x:v>2</x:v>
      </x:c>
      <x:c r="F10" s="8" t="n">
        <x:v>0</x:v>
      </x:c>
      <x:c r="G10" s="8" t="n">
        <x:v>0</x:v>
      </x:c>
      <x:c r="H10" s="8" t="n">
        <x:v>0</x:v>
      </x:c>
    </x:row>
    <x:row r="11" ht="24" customHeight="1">
      <x:c r="A11" s="1" t="str">
        <x:v>Adelantos</x:v>
      </x:c>
      <x:c r="B11" s="8" t="n">
        <x:v>0</x:v>
      </x:c>
      <x:c r="C11" s="8" t="n">
        <x:v>0</x:v>
      </x:c>
      <x:c r="D11" s="8" t="n">
        <x:v>200</x:v>
      </x:c>
      <x:c r="E11" s="8" t="n">
        <x:v>100</x:v>
      </x:c>
      <x:c r="F11" s="8" t="n">
        <x:v>0</x:v>
      </x:c>
      <x:c r="G11" s="8" t="n">
        <x:v>0</x:v>
      </x:c>
      <x:c r="H11" s="8" t="n">
        <x:v>0</x:v>
      </x:c>
    </x:row>
    <x:row r="12" ht="24" customHeight="1">
      <x:c r="A12" s="1"/>
      <x:c r="B12" s="1"/>
      <x:c r="C12" s="1"/>
      <x:c r="D12" s="1"/>
      <x:c r="E12" s="1"/>
      <x:c r="F12" s="1"/>
      <x:c r="G12" s="1"/>
      <x:c r="H12" s="1"/>
    </x:row>
    <x:row r="13" ht="24" customHeight="1">
      <x:c r="A13" s="1" t="str">
        <x:v>Sueldo computable</x:v>
      </x:c>
      <x:c r="B13" s="9" t="n">
        <x:f>IF(B4="","",ROUND(B4/'Parámetros'!$B$8*B5,2))</x:f>
        <x:v>2500</x:v>
      </x:c>
      <x:c r="C13" s="9" t="n">
        <x:f>IF(C4="","",ROUND(C4/'Parámetros'!$B$8*C5,2))</x:f>
        <x:v>1620</x:v>
      </x:c>
      <x:c r="D13" s="9" t="n">
        <x:f>IF(D4="","",ROUND(D4/'Parámetros'!$B$8*D5,2))</x:f>
        <x:v>3000</x:v>
      </x:c>
      <x:c r="E13" s="9" t="n">
        <x:f>IF(E4="","",ROUND(E4/'Parámetros'!$B$8*E5,2))</x:f>
        <x:v>3360</x:v>
      </x:c>
      <x:c r="F13" s="9" t="n">
        <x:f>IF(F4="","",ROUND(F4/'Parámetros'!$B$8*F5,2))</x:f>
        <x:v>2300</x:v>
      </x:c>
      <x:c r="G13" s="9" t="str">
        <x:f>IF(G4="","",ROUND(G4/'Parámetros'!$B$8*G5,2))</x:f>
      </x:c>
      <x:c r="H13" s="9" t="str">
        <x:f>IF(H4="","",ROUND(H4/'Parámetros'!$B$8*H5,2))</x:f>
      </x:c>
    </x:row>
    <x:row r="14" ht="24" customHeight="1">
      <x:c r="A14" s="1" t="str">
        <x:v>Asignación familiar</x:v>
      </x:c>
      <x:c r="B14" s="9" t="n">
        <x:f>IF(B4="","",IF(B6=1,ROUND('Parámetros'!$B$4*'Parámetros'!$B$5,2),0))</x:f>
        <x:v>0</x:v>
      </x:c>
      <x:c r="C14" s="9" t="n">
        <x:f>IF(C4="","",IF(C6=1,ROUND('Parámetros'!$B$4*'Parámetros'!$B$5,2),0))</x:f>
        <x:v>123</x:v>
      </x:c>
      <x:c r="D14" s="9" t="n">
        <x:f>IF(D4="","",IF(D6=1,ROUND('Parámetros'!$B$4*'Parámetros'!$B$5,2),0))</x:f>
        <x:v>123</x:v>
      </x:c>
      <x:c r="E14" s="9" t="n">
        <x:f>IF(E4="","",IF(E6=1,ROUND('Parámetros'!$B$4*'Parámetros'!$B$5,2),0))</x:f>
        <x:v>123</x:v>
      </x:c>
      <x:c r="F14" s="9" t="n">
        <x:f>IF(F4="","",IF(F6=1,ROUND('Parámetros'!$B$4*'Parámetros'!$B$5,2),0))</x:f>
        <x:v>0</x:v>
      </x:c>
      <x:c r="G14" s="9" t="str">
        <x:f>IF(G4="","",IF(G6=1,ROUND('Parámetros'!$B$4*'Parámetros'!$B$5,2),0))</x:f>
      </x:c>
      <x:c r="H14" s="9" t="str">
        <x:f>IF(H4="","",IF(H6=1,ROUND('Parámetros'!$B$4*'Parámetros'!$B$5,2),0))</x:f>
      </x:c>
    </x:row>
    <x:row r="15" ht="24" customHeight="1">
      <x:c r="A15" s="1" t="str">
        <x:v>Horas extras 25%</x:v>
      </x:c>
      <x:c r="B15" s="9" t="n">
        <x:f>IF(B4="","",ROUND(B4/'Parámetros'!$B$8/'Parámetros'!$B$9*'Parámetros'!$B$10*B9,2))</x:f>
        <x:v>0</x:v>
      </x:c>
      <x:c r="C15" s="9" t="n">
        <x:f>IF(C4="","",ROUND(C4/'Parámetros'!$B$8/'Parámetros'!$B$9*'Parámetros'!$B$10*C9,2))</x:f>
        <x:v>0</x:v>
      </x:c>
      <x:c r="D15" s="9" t="n">
        <x:f>IF(D4="","",ROUND(D4/'Parámetros'!$B$8/'Parámetros'!$B$9*'Parámetros'!$B$10*D9,2))</x:f>
        <x:v>62.5</x:v>
      </x:c>
      <x:c r="E15" s="9" t="n">
        <x:f>IF(E4="","",ROUND(E4/'Parámetros'!$B$8/'Parámetros'!$B$9*'Parámetros'!$B$10*E9,2))</x:f>
        <x:v>43.75</x:v>
      </x:c>
      <x:c r="F15" s="9" t="n">
        <x:f>IF(F4="","",ROUND(F4/'Parámetros'!$B$8/'Parámetros'!$B$9*'Parámetros'!$B$10*F9,2))</x:f>
        <x:v>0</x:v>
      </x:c>
      <x:c r="G15" s="9" t="str">
        <x:f>IF(G4="","",ROUND(G4/'Parámetros'!$B$8/'Parámetros'!$B$9*'Parámetros'!$B$10*G9,2))</x:f>
      </x:c>
      <x:c r="H15" s="9" t="str">
        <x:f>IF(H4="","",ROUND(H4/'Parámetros'!$B$8/'Parámetros'!$B$9*'Parámetros'!$B$10*H9,2))</x:f>
      </x:c>
    </x:row>
    <x:row r="16" ht="24" customHeight="1">
      <x:c r="A16" s="1" t="str">
        <x:v>Horas extras 35%</x:v>
      </x:c>
      <x:c r="B16" s="9" t="n">
        <x:f>IF(B4="","",ROUND(B4/'Parámetros'!$B$8/'Parámetros'!$B$9*'Parámetros'!$B$11*B10,2))</x:f>
        <x:v>0</x:v>
      </x:c>
      <x:c r="C16" s="9" t="n">
        <x:f>IF(C4="","",ROUND(C4/'Parámetros'!$B$8/'Parámetros'!$B$9*'Parámetros'!$B$11*C10,2))</x:f>
        <x:v>0</x:v>
      </x:c>
      <x:c r="D16" s="9" t="n">
        <x:f>IF(D4="","",ROUND(D4/'Parámetros'!$B$8/'Parámetros'!$B$9*'Parámetros'!$B$11*D10,2))</x:f>
        <x:v>67.5</x:v>
      </x:c>
      <x:c r="E16" s="9" t="n">
        <x:f>IF(E4="","",ROUND(E4/'Parámetros'!$B$8/'Parámetros'!$B$9*'Parámetros'!$B$11*E10,2))</x:f>
        <x:v>47.25</x:v>
      </x:c>
      <x:c r="F16" s="9" t="n">
        <x:f>IF(F4="","",ROUND(F4/'Parámetros'!$B$8/'Parámetros'!$B$9*'Parámetros'!$B$11*F10,2))</x:f>
        <x:v>0</x:v>
      </x:c>
      <x:c r="G16" s="9" t="str">
        <x:f>IF(G4="","",ROUND(G4/'Parámetros'!$B$8/'Parámetros'!$B$9*'Parámetros'!$B$11*G10,2))</x:f>
      </x:c>
      <x:c r="H16" s="9" t="str">
        <x:f>IF(H4="","",ROUND(H4/'Parámetros'!$B$8/'Parámetros'!$B$9*'Parámetros'!$B$11*H10,2))</x:f>
      </x:c>
    </x:row>
    <x:row r="17" ht="24" customHeight="1">
      <x:c r="A17" s="1" t="str">
        <x:v>Total remuneraciones</x:v>
      </x:c>
      <x:c r="B17" s="9" t="n">
        <x:f>IF(B4="","",SUM(B13:B16))</x:f>
        <x:v>2500</x:v>
      </x:c>
      <x:c r="C17" s="9" t="n">
        <x:f>IF(C4="","",SUM(C13:C16))</x:f>
        <x:v>1743</x:v>
      </x:c>
      <x:c r="D17" s="9" t="n">
        <x:f>IF(D4="","",SUM(D13:D16))</x:f>
        <x:v>3253</x:v>
      </x:c>
      <x:c r="E17" s="9" t="n">
        <x:f>IF(E4="","",SUM(E13:E16))</x:f>
        <x:v>3574</x:v>
      </x:c>
      <x:c r="F17" s="9" t="n">
        <x:f>IF(F4="","",SUM(F13:F16))</x:f>
        <x:v>2300</x:v>
      </x:c>
      <x:c r="G17" s="9" t="str">
        <x:f>IF(G4="","",SUM(G13:G16))</x:f>
      </x:c>
      <x:c r="H17" s="9" t="str">
        <x:f>IF(H4="","",SUM(H13:H16))</x:f>
      </x:c>
    </x:row>
    <x:row r="18" ht="24" customHeight="1">
      <x:c r="A18" s="1"/>
      <x:c r="B18" s="9"/>
      <x:c r="C18" s="9"/>
      <x:c r="D18" s="9"/>
      <x:c r="E18" s="9"/>
      <x:c r="F18" s="9"/>
      <x:c r="G18" s="9"/>
      <x:c r="H18" s="9"/>
    </x:row>
    <x:row r="19" ht="24" customHeight="1">
      <x:c r="A19" s="1" t="str">
        <x:v>ONP</x:v>
      </x:c>
      <x:c r="B19" s="9" t="n">
        <x:f>IF(B4="","",IF(B7="ONP",ROUND(B17*'Parámetros'!$B$6,2),0))</x:f>
        <x:v>325</x:v>
      </x:c>
      <x:c r="C19" s="9" t="n">
        <x:f>IF(C4="","",IF(C7="ONP",ROUND(C17*'Parámetros'!$B$6,2),0))</x:f>
        <x:v>226.59</x:v>
      </x:c>
      <x:c r="D19" s="9" t="n">
        <x:f>IF(D4="","",IF(D7="ONP",ROUND(D17*'Parámetros'!$B$6,2),0))</x:f>
        <x:v>0</x:v>
      </x:c>
      <x:c r="E19" s="9" t="n">
        <x:f>IF(E4="","",IF(E7="ONP",ROUND(E17*'Parámetros'!$B$6,2),0))</x:f>
        <x:v>0</x:v>
      </x:c>
      <x:c r="F19" s="9" t="n">
        <x:f>IF(F4="","",IF(F7="ONP",ROUND(F17*'Parámetros'!$B$6,2),0))</x:f>
        <x:v>0</x:v>
      </x:c>
      <x:c r="G19" s="9" t="str">
        <x:f>IF(G4="","",IF(G7="ONP",ROUND(G17*'Parámetros'!$B$6,2),0))</x:f>
      </x:c>
      <x:c r="H19" s="9" t="str">
        <x:f>IF(H4="","",IF(H7="ONP",ROUND(H17*'Parámetros'!$B$6,2),0))</x:f>
      </x:c>
    </x:row>
    <x:row r="20" ht="24" customHeight="1">
      <x:c r="A20" s="1" t="str">
        <x:v>AFP fondo</x:v>
      </x:c>
      <x:c r="B20" s="9" t="n">
        <x:f>IF(B4="","",IF(B7="AFP",ROUND(B17*VLOOKUP(B8,'Parámetros'!$A$16:$D$20,2,FALSE),2),0))</x:f>
        <x:v>0</x:v>
      </x:c>
      <x:c r="C20" s="9" t="n">
        <x:f>IF(C4="","",IF(C7="AFP",ROUND(C17*VLOOKUP(C8,'Parámetros'!$A$16:$D$20,2,FALSE),2),0))</x:f>
        <x:v>0</x:v>
      </x:c>
      <x:c r="D20" s="9" t="n">
        <x:f>IF(D4="","",IF(D7="AFP",ROUND(D17*VLOOKUP(D8,'Parámetros'!$A$16:$D$20,2,FALSE),2),0))</x:f>
        <x:v>325.3</x:v>
      </x:c>
      <x:c r="E20" s="9" t="n">
        <x:f>IF(E4="","",IF(E7="AFP",ROUND(E17*VLOOKUP(E8,'Parámetros'!$A$16:$D$20,2,FALSE),2),0))</x:f>
        <x:v>357.4</x:v>
      </x:c>
      <x:c r="F20" s="9" t="n">
        <x:f>IF(F4="","",IF(F7="AFP",ROUND(F17*VLOOKUP(F8,'Parámetros'!$A$16:$D$20,2,FALSE),2),0))</x:f>
        <x:v>230</x:v>
      </x:c>
      <x:c r="G20" s="9" t="str">
        <x:f>IF(G4="","",IF(G7="AFP",ROUND(G17*VLOOKUP(G8,'Parámetros'!$A$16:$D$20,2,FALSE),2),0))</x:f>
      </x:c>
      <x:c r="H20" s="9" t="str">
        <x:f>IF(H4="","",IF(H7="AFP",ROUND(H17*VLOOKUP(H8,'Parámetros'!$A$16:$D$20,2,FALSE),2),0))</x:f>
      </x:c>
    </x:row>
    <x:row r="21" ht="24" customHeight="1">
      <x:c r="A21" s="1" t="str">
        <x:v>AFP comisión</x:v>
      </x:c>
      <x:c r="B21" s="9" t="n">
        <x:f>IF(B4="","",IF(B7="AFP",ROUND(B17*VLOOKUP(B8,'Parámetros'!$A$16:$D$20,3,FALSE),2),0))</x:f>
        <x:v>0</x:v>
      </x:c>
      <x:c r="C21" s="9" t="n">
        <x:f>IF(C4="","",IF(C7="AFP",ROUND(C17*VLOOKUP(C8,'Parámetros'!$A$16:$D$20,3,FALSE),2),0))</x:f>
        <x:v>0</x:v>
      </x:c>
      <x:c r="D21" s="9" t="n">
        <x:f>IF(D4="","",IF(D7="AFP",ROUND(D17*VLOOKUP(D8,'Parámetros'!$A$16:$D$20,3,FALSE),2),0))</x:f>
        <x:v>52.05</x:v>
      </x:c>
      <x:c r="E21" s="9" t="n">
        <x:f>IF(E4="","",IF(E7="AFP",ROUND(E17*VLOOKUP(E8,'Parámetros'!$A$16:$D$20,3,FALSE),2),0))</x:f>
        <x:v>57.18</x:v>
      </x:c>
      <x:c r="F21" s="9" t="n">
        <x:f>IF(F4="","",IF(F7="AFP",ROUND(F17*VLOOKUP(F8,'Parámetros'!$A$16:$D$20,3,FALSE),2),0))</x:f>
        <x:v>36.8</x:v>
      </x:c>
      <x:c r="G21" s="9" t="str">
        <x:f>IF(G4="","",IF(G7="AFP",ROUND(G17*VLOOKUP(G8,'Parámetros'!$A$16:$D$20,3,FALSE),2),0))</x:f>
      </x:c>
      <x:c r="H21" s="9" t="str">
        <x:f>IF(H4="","",IF(H7="AFP",ROUND(H17*VLOOKUP(H8,'Parámetros'!$A$16:$D$20,3,FALSE),2),0))</x:f>
      </x:c>
    </x:row>
    <x:row r="22" ht="24" customHeight="1">
      <x:c r="A22" s="1" t="str">
        <x:v>AFP seguro</x:v>
      </x:c>
      <x:c r="B22" s="9" t="n">
        <x:f>IF(B4="","",IF(B7="AFP",ROUND(B17*VLOOKUP(B8,'Parámetros'!$A$16:$D$20,4,FALSE),2),0))</x:f>
        <x:v>0</x:v>
      </x:c>
      <x:c r="C22" s="9" t="n">
        <x:f>IF(C4="","",IF(C7="AFP",ROUND(C17*VLOOKUP(C8,'Parámetros'!$A$16:$D$20,4,FALSE),2),0))</x:f>
        <x:v>0</x:v>
      </x:c>
      <x:c r="D22" s="9" t="n">
        <x:f>IF(D4="","",IF(D7="AFP",ROUND(D17*VLOOKUP(D8,'Parámetros'!$A$16:$D$20,4,FALSE),2),0))</x:f>
        <x:v>43.92</x:v>
      </x:c>
      <x:c r="E22" s="9" t="n">
        <x:f>IF(E4="","",IF(E7="AFP",ROUND(E17*VLOOKUP(E8,'Parámetros'!$A$16:$D$20,4,FALSE),2),0))</x:f>
        <x:v>48.25</x:v>
      </x:c>
      <x:c r="F22" s="9" t="n">
        <x:f>IF(F4="","",IF(F7="AFP",ROUND(F17*VLOOKUP(F8,'Parámetros'!$A$16:$D$20,4,FALSE),2),0))</x:f>
        <x:v>31.51</x:v>
      </x:c>
      <x:c r="G22" s="9" t="str">
        <x:f>IF(G4="","",IF(G7="AFP",ROUND(G17*VLOOKUP(G8,'Parámetros'!$A$16:$D$20,4,FALSE),2),0))</x:f>
      </x:c>
      <x:c r="H22" s="9" t="str">
        <x:f>IF(H4="","",IF(H7="AFP",ROUND(H17*VLOOKUP(H8,'Parámetros'!$A$16:$D$20,4,FALSE),2),0))</x:f>
      </x:c>
    </x:row>
    <x:row r="23" ht="24" customHeight="1">
      <x:c r="A23" s="1" t="str">
        <x:v>Adelantos</x:v>
      </x:c>
      <x:c r="B23" s="9" t="n">
        <x:f>IF(B4="","",ROUND(B11,2))</x:f>
        <x:v>0</x:v>
      </x:c>
      <x:c r="C23" s="9" t="n">
        <x:f>IF(C4="","",ROUND(C11,2))</x:f>
        <x:v>0</x:v>
      </x:c>
      <x:c r="D23" s="9" t="n">
        <x:f>IF(D4="","",ROUND(D11,2))</x:f>
        <x:v>200</x:v>
      </x:c>
      <x:c r="E23" s="9" t="n">
        <x:f>IF(E4="","",ROUND(E11,2))</x:f>
        <x:v>100</x:v>
      </x:c>
      <x:c r="F23" s="9" t="n">
        <x:f>IF(F4="","",ROUND(F11,2))</x:f>
        <x:v>0</x:v>
      </x:c>
      <x:c r="G23" s="9" t="str">
        <x:f>IF(G4="","",ROUND(G11,2))</x:f>
      </x:c>
      <x:c r="H23" s="9" t="str">
        <x:f>IF(H4="","",ROUND(H11,2))</x:f>
      </x:c>
    </x:row>
    <x:row r="24" ht="24" customHeight="1">
      <x:c r="A24" s="1" t="str">
        <x:v>Total descuentos</x:v>
      </x:c>
      <x:c r="B24" s="9" t="n">
        <x:f>IF(B4="","",SUM(B19:B23))</x:f>
        <x:v>325</x:v>
      </x:c>
      <x:c r="C24" s="9" t="n">
        <x:f>IF(C4="","",SUM(C19:C23))</x:f>
        <x:v>226.59</x:v>
      </x:c>
      <x:c r="D24" s="9" t="n">
        <x:f>IF(D4="","",SUM(D19:D23))</x:f>
        <x:v>621.27</x:v>
      </x:c>
      <x:c r="E24" s="9" t="n">
        <x:f>IF(E4="","",SUM(E19:E23))</x:f>
        <x:v>562.8299999999999</x:v>
      </x:c>
      <x:c r="F24" s="9" t="n">
        <x:f>IF(F4="","",SUM(F19:F23))</x:f>
        <x:v>298.31</x:v>
      </x:c>
      <x:c r="G24" s="9" t="str">
        <x:f>IF(G4="","",SUM(G19:G23))</x:f>
      </x:c>
      <x:c r="H24" s="9" t="str">
        <x:f>IF(H4="","",SUM(H19:H23))</x:f>
      </x:c>
    </x:row>
    <x:row r="25" ht="24" customHeight="1">
      <x:c r="A25" s="1"/>
      <x:c r="B25" s="9"/>
      <x:c r="C25" s="9"/>
      <x:c r="D25" s="9"/>
      <x:c r="E25" s="9"/>
      <x:c r="F25" s="9"/>
      <x:c r="G25" s="9"/>
      <x:c r="H25" s="9"/>
    </x:row>
    <x:row r="26" ht="24" customHeight="1">
      <x:c r="A26" s="1" t="str">
        <x:v>Neto a pagar</x:v>
      </x:c>
      <x:c r="B26" s="9" t="n">
        <x:f>IF(B4="","",B17-B24)</x:f>
        <x:v>2175</x:v>
      </x:c>
      <x:c r="C26" s="9" t="n">
        <x:f>IF(C4="","",C17-C24)</x:f>
        <x:v>1516.41</x:v>
      </x:c>
      <x:c r="D26" s="9" t="n">
        <x:f>IF(D4="","",D17-D24)</x:f>
        <x:v>2631.73</x:v>
      </x:c>
      <x:c r="E26" s="9" t="n">
        <x:f>IF(E4="","",E17-E24)</x:f>
        <x:v>3011.17</x:v>
      </x:c>
      <x:c r="F26" s="9" t="n">
        <x:f>IF(F4="","",F17-F24)</x:f>
        <x:v>2001.69</x:v>
      </x:c>
      <x:c r="G26" s="9" t="str">
        <x:f>IF(G4="","",G17-G24)</x:f>
      </x:c>
      <x:c r="H26" s="9" t="str">
        <x:f>IF(H4="","",H17-H24)</x:f>
      </x:c>
    </x:row>
    <x:row r="27" ht="24" customHeight="1">
      <x:c r="A27" s="1" t="str">
        <x:v>EsSalud empleador</x:v>
      </x:c>
      <x:c r="B27" s="9" t="n">
        <x:f>IF(B4="","",ROUND(B17*'Parámetros'!$B$7,2))</x:f>
        <x:v>225</x:v>
      </x:c>
      <x:c r="C27" s="9" t="n">
        <x:f>IF(C4="","",ROUND(C17*'Parámetros'!$B$7,2))</x:f>
        <x:v>156.87</x:v>
      </x:c>
      <x:c r="D27" s="9" t="n">
        <x:f>IF(D4="","",ROUND(D17*'Parámetros'!$B$7,2))</x:f>
        <x:v>292.77</x:v>
      </x:c>
      <x:c r="E27" s="9" t="n">
        <x:f>IF(E4="","",ROUND(E17*'Parámetros'!$B$7,2))</x:f>
        <x:v>321.66</x:v>
      </x:c>
      <x:c r="F27" s="9" t="n">
        <x:f>IF(F4="","",ROUND(F17*'Parámetros'!$B$7,2))</x:f>
        <x:v>207</x:v>
      </x:c>
      <x:c r="G27" s="9" t="str">
        <x:f>IF(G4="","",ROUND(G17*'Parámetros'!$B$7,2))</x:f>
      </x:c>
      <x:c r="H27" s="9" t="str">
        <x:f>IF(H4="","",ROUND(H17*'Parámetros'!$B$7,2))</x:f>
      </x:c>
    </x:row>
    <x:row r="28" ht="24" customHeight="1">
      <x:c r="A28" s="1" t="str">
        <x:v>Costo empleador</x:v>
      </x:c>
      <x:c r="B28" s="9" t="n">
        <x:f>IF(B4="","",SUM(B17,B27))</x:f>
        <x:v>2725</x:v>
      </x:c>
      <x:c r="C28" s="9" t="n">
        <x:f>IF(C4="","",SUM(C17,C27))</x:f>
        <x:v>1899.87</x:v>
      </x:c>
      <x:c r="D28" s="9" t="n">
        <x:f>IF(D4="","",SUM(D17,D27))</x:f>
        <x:v>3545.77</x:v>
      </x:c>
      <x:c r="E28" s="9" t="n">
        <x:f>IF(E4="","",SUM(E17,E27))</x:f>
        <x:v>3895.66</x:v>
      </x:c>
      <x:c r="F28" s="9" t="n">
        <x:f>IF(F4="","",SUM(F17,F27))</x:f>
        <x:v>2507</x:v>
      </x:c>
      <x:c r="G28" s="9" t="str">
        <x:f>IF(G4="","",SUM(G17,G27))</x:f>
      </x:c>
      <x:c r="H28" s="9" t="str">
        <x:f>IF(H4="","",SUM(H17,H27))</x:f>
      </x:c>
    </x:row>
    <x:row r="29" ht="24" customHeight="1">
      <x:c r="A29" s="1" t="str">
        <x:v>Neto / remuneraciones</x:v>
      </x:c>
      <x:c r="B29" s="4" t="n">
        <x:f>IF(B4="","",B26/B17)</x:f>
        <x:v>0.87</x:v>
      </x:c>
      <x:c r="C29" s="4" t="n">
        <x:f>IF(C4="","",C26/C17)</x:f>
        <x:v>0.87</x:v>
      </x:c>
      <x:c r="D29" s="4" t="n">
        <x:f>IF(D4="","",D26/D17)</x:f>
        <x:v>0.8090162926529357</x:v>
      </x:c>
      <x:c r="E29" s="4" t="n">
        <x:f>IF(E4="","",E26/E17)</x:f>
        <x:v>0.8425209848908786</x:v>
      </x:c>
      <x:c r="F29" s="4" t="n">
        <x:f>IF(F4="","",F26/F17)</x:f>
        <x:v>0.8703000000000001</x:v>
      </x:c>
      <x:c r="G29" s="4" t="str">
        <x:f>IF(G4="","",G26/G17)</x:f>
      </x:c>
      <x:c r="H29" s="4" t="str">
        <x:f>IF(H4="","",H26/H17)</x:f>
      </x:c>
    </x:row>
    <x:row r="30" ht="24" customHeight="1">
      <x:c r="A30" s="1"/>
      <x:c r="B30" s="9"/>
      <x:c r="C30" s="9"/>
      <x:c r="D30" s="9"/>
      <x:c r="E30" s="9"/>
      <x:c r="F30" s="9"/>
      <x:c r="G30" s="9"/>
      <x:c r="H30" s="9"/>
    </x:row>
    <x:row r="31" ht="24" customHeight="1">
      <x:c r="A31" s="1" t="str">
        <x:v>Neto esperado Swift</x:v>
      </x:c>
      <x:c r="B31" s="9" t="n">
        <x:v>2175</x:v>
      </x:c>
      <x:c r="C31" s="9" t="n">
        <x:v>1516.41</x:v>
      </x:c>
      <x:c r="D31" s="9" t="n">
        <x:v>2631.73</x:v>
      </x:c>
      <x:c r="E31" s="9" t="n">
        <x:v>3011.17</x:v>
      </x:c>
      <x:c r="F31" s="9" t="n">
        <x:v>2001.69</x:v>
      </x:c>
      <x:c r="G31" s="9" t="str">
        <x:v>Pendiente</x:v>
      </x:c>
      <x:c r="H31" s="9" t="str">
        <x:v>Pendiente</x:v>
      </x:c>
    </x:row>
    <x:row r="32" ht="24" customHeight="1">
      <x:c r="A32" s="1" t="str">
        <x:v>Diferencia con Swift</x:v>
      </x:c>
      <x:c r="B32" s="9" t="n">
        <x:f>ROUND(B26-B31,2)</x:f>
        <x:v>0</x:v>
      </x:c>
      <x:c r="C32" s="9" t="n">
        <x:f>ROUND(C26-C31,2)</x:f>
        <x:v>0</x:v>
      </x:c>
      <x:c r="D32" s="9" t="n">
        <x:f>ROUND(D26-D31,2)</x:f>
        <x:v>0</x:v>
      </x:c>
      <x:c r="E32" s="9" t="n">
        <x:f>ROUND(E26-E31,2)</x:f>
        <x:v>0</x:v>
      </x:c>
      <x:c r="F32" s="9" t="n">
        <x:f>ROUND(F26-F31,2)</x:f>
        <x:v>0</x:v>
      </x:c>
      <x:c r="G32" s="9"/>
      <x:c r="H32" s="9"/>
    </x:row>
    <x:row r="33" ht="24" customHeight="1">
      <x:c r="A33" s="1" t="str">
        <x:v>Control cruzado</x:v>
      </x:c>
      <x:c r="B33" s="1" t="str">
        <x:f>IF(B32=0,"Coincide","Revisar")</x:f>
        <x:v>Coincide</x:v>
      </x:c>
      <x:c r="C33" s="1" t="str">
        <x:f>IF(C32=0,"Coincide","Revisar")</x:f>
        <x:v>Coincide</x:v>
      </x:c>
      <x:c r="D33" s="1" t="str">
        <x:f>IF(D32=0,"Coincide","Revisar")</x:f>
        <x:v>Coincide</x:v>
      </x:c>
      <x:c r="E33" s="1" t="str">
        <x:f>IF(E32=0,"Coincide","Revisar")</x:f>
        <x:v>Coincide</x:v>
      </x:c>
      <x:c r="F33" s="1" t="str">
        <x:f>IF(F32=0,"Coincide","Revisar")</x:f>
        <x:v>Coincide</x:v>
      </x:c>
      <x:c r="G33" s="1"/>
      <x:c r="H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</x:row>
    <x:row r="35" ht="24" customHeight="1">
      <x:c r="A35" s="5" t="str">
        <x:v>Oferta: ver Parámetros, fila 26. Compañeros: completar sueldos reales y fuentes antes de comparar.</x:v>
      </x:c>
      <x:c r="B35" s="5"/>
      <x:c r="C35" s="5"/>
      <x:c r="D35" s="5"/>
      <x:c r="E35" s="5"/>
      <x:c r="F35" s="5"/>
      <x:c r="G35" s="5"/>
      <x:c r="H35" s="5"/>
    </x:row>
    <x:row r="36" ht="24" customHeight="1">
      <x:c r="A36" s="5"/>
      <x:c r="B36" s="5"/>
      <x:c r="C36" s="5"/>
      <x:c r="D36" s="5"/>
      <x:c r="E36" s="5"/>
      <x:c r="F36" s="5"/>
      <x:c r="G36" s="5"/>
      <x:c r="H36" s="5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</x:row>
    <x:row r="66" ht="24" customHeight="1">
      <x:c r="A66" s="1"/>
      <x:c r="B66" s="1"/>
      <x:c r="C66" s="1"/>
      <x:c r="D66" s="1"/>
      <x:c r="E66" s="1"/>
      <x:c r="F66" s="1"/>
      <x:c r="G66" s="1"/>
      <x:c r="H66" s="1"/>
    </x:row>
    <x:row r="67" ht="24" customHeight="1">
      <x:c r="A67" s="1"/>
      <x:c r="B67" s="1"/>
      <x:c r="C67" s="1"/>
      <x:c r="D67" s="1"/>
      <x:c r="E67" s="1"/>
      <x:c r="F67" s="1"/>
      <x:c r="G67" s="1"/>
      <x:c r="H67" s="1"/>
    </x:row>
    <x:row r="68" ht="24" customHeight="1">
      <x:c r="A68" s="1"/>
      <x:c r="B68" s="1"/>
      <x:c r="C68" s="1"/>
      <x:c r="D68" s="1"/>
      <x:c r="E68" s="1"/>
      <x:c r="F68" s="1"/>
      <x:c r="G68" s="1"/>
      <x:c r="H68" s="1"/>
    </x:row>
    <x:row r="69" ht="24" customHeight="1">
      <x:c r="A69" s="1"/>
      <x:c r="B69" s="1"/>
      <x:c r="C69" s="1"/>
      <x:c r="D69" s="1"/>
      <x:c r="E69" s="1"/>
      <x:c r="F69" s="1"/>
      <x:c r="G69" s="1"/>
      <x:c r="H69" s="1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</x:row>
  </x:sheetData>
  <x:mergeCells>
    <x:mergeCell ref="A1:H1"/>
    <x:mergeCell ref="A35:H36"/>
  </x:mergeCells>
  <x:dataValidations count="28">
    <x:dataValidation type="list" sqref="B7">
      <x:formula1>"ONP,AFP"</x:formula1>
    </x:dataValidation>
    <x:dataValidation type="list" sqref="B8">
      <x:formula1>'Parámetros'!$A$16:$A$20</x:formula1>
    </x:dataValidation>
    <x:dataValidation type="whole" operator="between" sqref="B5">
      <x:formula1>1</x:formula1>
      <x:formula2>30</x:formula2>
    </x:dataValidation>
    <x:dataValidation type="whole" operator="between" sqref="B6">
      <x:formula1>0</x:formula1>
      <x:formula2>1</x:formula2>
    </x:dataValidation>
    <x:dataValidation type="list" sqref="C7">
      <x:formula1>"ONP,AFP"</x:formula1>
    </x:dataValidation>
    <x:dataValidation type="list" sqref="C8">
      <x:formula1>'Parámetros'!$A$16:$A$20</x:formula1>
    </x:dataValidation>
    <x:dataValidation type="whole" operator="between" sqref="C5">
      <x:formula1>1</x:formula1>
      <x:formula2>30</x:formula2>
    </x:dataValidation>
    <x:dataValidation type="whole" operator="between" sqref="C6">
      <x:formula1>0</x:formula1>
      <x:formula2>1</x:formula2>
    </x:dataValidation>
    <x:dataValidation type="list" sqref="D7">
      <x:formula1>"ONP,AFP"</x:formula1>
    </x:dataValidation>
    <x:dataValidation type="list" sqref="D8">
      <x:formula1>'Parámetros'!$A$16:$A$20</x:formula1>
    </x:dataValidation>
    <x:dataValidation type="whole" operator="between" sqref="D5">
      <x:formula1>1</x:formula1>
      <x:formula2>30</x:formula2>
    </x:dataValidation>
    <x:dataValidation type="whole" operator="between" sqref="D6">
      <x:formula1>0</x:formula1>
      <x:formula2>1</x:formula2>
    </x:dataValidation>
    <x:dataValidation type="list" sqref="E7">
      <x:formula1>"ONP,AFP"</x:formula1>
    </x:dataValidation>
    <x:dataValidation type="list" sqref="E8">
      <x:formula1>'Parámetros'!$A$16:$A$20</x:formula1>
    </x:dataValidation>
    <x:dataValidation type="whole" operator="between" sqref="E5">
      <x:formula1>1</x:formula1>
      <x:formula2>30</x:formula2>
    </x:dataValidation>
    <x:dataValidation type="whole" operator="between" sqref="E6">
      <x:formula1>0</x:formula1>
      <x:formula2>1</x:formula2>
    </x:dataValidation>
    <x:dataValidation type="list" sqref="F7">
      <x:formula1>"ONP,AFP"</x:formula1>
    </x:dataValidation>
    <x:dataValidation type="list" sqref="F8">
      <x:formula1>'Parámetros'!$A$16:$A$20</x:formula1>
    </x:dataValidation>
    <x:dataValidation type="whole" operator="between" sqref="F5">
      <x:formula1>1</x:formula1>
      <x:formula2>30</x:formula2>
    </x:dataValidation>
    <x:dataValidation type="whole" operator="between" sqref="F6">
      <x:formula1>0</x:formula1>
      <x:formula2>1</x:formula2>
    </x:dataValidation>
    <x:dataValidation type="list" sqref="G7">
      <x:formula1>"ONP,AFP"</x:formula1>
    </x:dataValidation>
    <x:dataValidation type="list" sqref="G8">
      <x:formula1>'Parámetros'!$A$16:$A$20</x:formula1>
    </x:dataValidation>
    <x:dataValidation type="whole" operator="between" sqref="G5">
      <x:formula1>1</x:formula1>
      <x:formula2>30</x:formula2>
    </x:dataValidation>
    <x:dataValidation type="whole" operator="between" sqref="G6">
      <x:formula1>0</x:formula1>
      <x:formula2>1</x:formula2>
    </x:dataValidation>
    <x:dataValidation type="list" sqref="H7">
      <x:formula1>"ONP,AFP"</x:formula1>
    </x:dataValidation>
    <x:dataValidation type="list" sqref="H8">
      <x:formula1>'Parámetros'!$A$16:$A$20</x:formula1>
    </x:dataValidation>
    <x:dataValidation type="whole" operator="between" sqref="H5">
      <x:formula1>1</x:formula1>
      <x:formula2>30</x:formula2>
    </x:dataValidation>
    <x:dataValidation type="whole" operator="between" sqref="H6">
      <x:formula1>0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65" hidden="0" customWidth="1"/>
    <x:col min="3" max="3" width="42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Explicación de fórmulas y análisis</x:v>
      </x:c>
      <x:c r="B1" s="3"/>
      <x:c r="C1" s="3"/>
      <x:c r="D1" s="3"/>
      <x:c r="E1" s="1"/>
      <x:c r="F1" s="1"/>
      <x:c r="G1" s="1"/>
      <x:c r="H1" s="1"/>
    </x:row>
    <x:row r="2" ht="24" customHeight="1">
      <x:c r="A2" s="1"/>
      <x:c r="B2" s="1"/>
      <x:c r="C2" s="1"/>
      <x:c r="D2" s="1"/>
      <x:c r="E2" s="1"/>
      <x:c r="F2" s="1"/>
      <x:c r="G2" s="1"/>
      <x:c r="H2" s="1"/>
    </x:row>
    <x:row r="3" ht="24" customHeight="1">
      <x:c r="A3" s="1" t="str">
        <x:v>Concepto</x:v>
      </x:c>
      <x:c r="B3" s="1" t="str">
        <x:v>En palabras</x:v>
      </x:c>
      <x:c r="C3" s="1" t="str">
        <x:v>Fórmula de ejemplo</x:v>
      </x:c>
      <x:c r="D3" s="1" t="str">
        <x:v>Resultado</x:v>
      </x:c>
      <x:c r="E3" s="1"/>
      <x:c r="F3" s="1"/>
      <x:c r="G3" s="1"/>
      <x:c r="H3" s="1"/>
    </x:row>
    <x:row r="4" ht="58" customHeight="1">
      <x:c r="A4" s="5" t="str">
        <x:v>Sueldo computable</x:v>
      </x:c>
      <x:c r="B4" s="5" t="str">
        <x:v>Divide el sueldo básico entre 30 y multiplica por los días trabajados.</x:v>
      </x:c>
      <x:c r="C4" s="5" t="str">
        <x:v>=1800/30*27</x:v>
      </x:c>
      <x:c r="D4" s="16" t="n">
        <x:f>Casos!C13</x:f>
        <x:v>1620</x:v>
      </x:c>
      <x:c r="E4" s="1"/>
      <x:c r="F4" s="1"/>
      <x:c r="G4" s="1"/>
      <x:c r="H4" s="1"/>
    </x:row>
    <x:row r="5" ht="58" customHeight="1">
      <x:c r="A5" s="5" t="str">
        <x:v>Asignación familiar</x:v>
      </x:c>
      <x:c r="B5" s="5" t="str">
        <x:v>Si tiene hijos, toma 10% de la RMV completa, sin prorratear.</x:v>
      </x:c>
      <x:c r="C5" s="5" t="str">
        <x:v>=1230*10%</x:v>
      </x:c>
      <x:c r="D5" s="16" t="n">
        <x:f>Casos!C14</x:f>
        <x:v>123</x:v>
      </x:c>
      <x:c r="E5" s="1"/>
      <x:c r="F5" s="1"/>
      <x:c r="G5" s="1"/>
      <x:c r="H5" s="1"/>
    </x:row>
    <x:row r="6" ht="58" customHeight="1">
      <x:c r="A6" s="5" t="str">
        <x:v>Valor hora</x:v>
      </x:c>
      <x:c r="B6" s="5" t="str">
        <x:v>Divide el sueldo básico entre 30 y luego entre 8. No redondees esta base.</x:v>
      </x:c>
      <x:c r="C6" s="5" t="str">
        <x:v>=3000/30/8</x:v>
      </x:c>
      <x:c r="D6" s="16" t="n">
        <x:f>Casos!D4/'Parámetros'!B8/'Parámetros'!B9</x:f>
        <x:v>12.5</x:v>
      </x:c>
      <x:c r="E6" s="1"/>
      <x:c r="F6" s="1"/>
      <x:c r="G6" s="1"/>
      <x:c r="H6" s="1"/>
    </x:row>
    <x:row r="7" ht="58" customHeight="1">
      <x:c r="A7" s="5" t="str">
        <x:v>Horas extras 25%</x:v>
      </x:c>
      <x:c r="B7" s="5" t="str">
        <x:v>Multiplica el valor hora por 1.25 y por sus horas, y redondea.</x:v>
      </x:c>
      <x:c r="C7" s="5" t="str">
        <x:v>=ROUND(12.5*1.25*4,2)</x:v>
      </x:c>
      <x:c r="D7" s="16" t="n">
        <x:f>Casos!D15</x:f>
        <x:v>62.5</x:v>
      </x:c>
      <x:c r="E7" s="1"/>
      <x:c r="F7" s="1"/>
      <x:c r="G7" s="1"/>
      <x:c r="H7" s="1"/>
    </x:row>
    <x:row r="8" ht="58" customHeight="1">
      <x:c r="A8" s="5" t="str">
        <x:v>Horas extras 35%</x:v>
      </x:c>
      <x:c r="B8" s="5" t="str">
        <x:v>Multiplica el valor hora por 1.35 y por sus horas, y redondea.</x:v>
      </x:c>
      <x:c r="C8" s="5" t="str">
        <x:v>=ROUND(12.5*1.35*4,2)</x:v>
      </x:c>
      <x:c r="D8" s="16" t="n">
        <x:f>Casos!D16</x:f>
        <x:v>67.5</x:v>
      </x:c>
      <x:c r="E8" s="1"/>
      <x:c r="F8" s="1"/>
      <x:c r="G8" s="1"/>
      <x:c r="H8" s="1"/>
    </x:row>
    <x:row r="9" ht="58" customHeight="1">
      <x:c r="A9" s="5" t="str">
        <x:v>Total remuneraciones</x:v>
      </x:c>
      <x:c r="B9" s="5" t="str">
        <x:v>Suma sueldo computable, asignación y ambas horas extras.</x:v>
      </x:c>
      <x:c r="C9" s="5" t="str">
        <x:v>=SUM(3000,123,62.5,67.5)</x:v>
      </x:c>
      <x:c r="D9" s="16" t="n">
        <x:f>Casos!D17</x:f>
        <x:v>3253</x:v>
      </x:c>
      <x:c r="E9" s="1"/>
      <x:c r="F9" s="1"/>
      <x:c r="G9" s="1"/>
      <x:c r="H9" s="1"/>
    </x:row>
    <x:row r="10" ht="58" customHeight="1">
      <x:c r="A10" s="5" t="str">
        <x:v>ONP</x:v>
      </x:c>
      <x:c r="B10" s="5" t="str">
        <x:v>Retiene 13% del total de remuneraciones, si eligió ONP.</x:v>
      </x:c>
      <x:c r="C10" s="5" t="str">
        <x:v>=ROUND(2500*13%,2)</x:v>
      </x:c>
      <x:c r="D10" s="16" t="n">
        <x:f>Casos!B19</x:f>
        <x:v>325</x:v>
      </x:c>
      <x:c r="E10" s="1"/>
      <x:c r="F10" s="1"/>
      <x:c r="G10" s="1"/>
      <x:c r="H10" s="1"/>
    </x:row>
    <x:row r="11" ht="58" customHeight="1">
      <x:c r="A11" s="5" t="str">
        <x:v>AFP fondo</x:v>
      </x:c>
      <x:c r="B11" s="5" t="str">
        <x:v>Multiplica el total por el porcentaje del fondo.</x:v>
      </x:c>
      <x:c r="C11" s="5" t="str">
        <x:v>=ROUND(3253*10%,2)</x:v>
      </x:c>
      <x:c r="D11" s="16" t="n">
        <x:f>Casos!D20</x:f>
        <x:v>325.3</x:v>
      </x:c>
      <x:c r="E11" s="1"/>
      <x:c r="F11" s="1"/>
      <x:c r="G11" s="1"/>
      <x:c r="H11" s="1"/>
    </x:row>
    <x:row r="12" ht="58" customHeight="1">
      <x:c r="A12" s="5" t="str">
        <x:v>AFP comisión</x:v>
      </x:c>
      <x:c r="B12" s="5" t="str">
        <x:v>Calcula y redondea la comisión por separado.</x:v>
      </x:c>
      <x:c r="C12" s="5" t="str">
        <x:v>=ROUND(3253*1.6%,2)</x:v>
      </x:c>
      <x:c r="D12" s="16" t="n">
        <x:f>Casos!D21</x:f>
        <x:v>52.05</x:v>
      </x:c>
      <x:c r="E12" s="1"/>
      <x:c r="F12" s="1"/>
      <x:c r="G12" s="1"/>
      <x:c r="H12" s="1"/>
    </x:row>
    <x:row r="13" ht="58" customHeight="1">
      <x:c r="A13" s="5" t="str">
        <x:v>AFP seguro</x:v>
      </x:c>
      <x:c r="B13" s="5" t="str">
        <x:v>Calcula y redondea el seguro por separado.</x:v>
      </x:c>
      <x:c r="C13" s="5" t="str">
        <x:v>=ROUND(3253*1.35%,2)</x:v>
      </x:c>
      <x:c r="D13" s="16" t="n">
        <x:f>Casos!D22</x:f>
        <x:v>43.92</x:v>
      </x:c>
      <x:c r="E13" s="1"/>
      <x:c r="F13" s="1"/>
      <x:c r="G13" s="1"/>
      <x:c r="H13" s="1"/>
    </x:row>
    <x:row r="14" ht="58" customHeight="1">
      <x:c r="A14" s="5" t="str">
        <x:v>Adelanto</x:v>
      </x:c>
      <x:c r="B14" s="5" t="str">
        <x:v>Resta el monto ingresado. El dinero ya fue recibido antes.</x:v>
      </x:c>
      <x:c r="C14" s="5" t="str">
        <x:v>=200</x:v>
      </x:c>
      <x:c r="D14" s="16" t="n">
        <x:f>Casos!D23</x:f>
        <x:v>200</x:v>
      </x:c>
      <x:c r="E14" s="1"/>
      <x:c r="F14" s="1"/>
      <x:c r="G14" s="1"/>
      <x:c r="H14" s="1"/>
    </x:row>
    <x:row r="15" ht="58" customHeight="1">
      <x:c r="A15" s="5" t="str">
        <x:v>Total descuentos</x:v>
      </x:c>
      <x:c r="B15" s="5" t="str">
        <x:v>Suma ONP o los tres conceptos AFP y el adelanto.</x:v>
      </x:c>
      <x:c r="C15" s="5" t="str">
        <x:v>=SUM(325.30,52.05,43.92,200)</x:v>
      </x:c>
      <x:c r="D15" s="16" t="n">
        <x:f>Casos!D24</x:f>
        <x:v>621.27</x:v>
      </x:c>
      <x:c r="E15" s="1"/>
      <x:c r="F15" s="1"/>
      <x:c r="G15" s="1"/>
      <x:c r="H15" s="1"/>
    </x:row>
    <x:row r="16" ht="58" customHeight="1">
      <x:c r="A16" s="5" t="str">
        <x:v>Neto a pagar</x:v>
      </x:c>
      <x:c r="B16" s="5" t="str">
        <x:v>Resta los descuentos del total remunerado.</x:v>
      </x:c>
      <x:c r="C16" s="5" t="str">
        <x:v>=3253-621.27</x:v>
      </x:c>
      <x:c r="D16" s="16" t="n">
        <x:f>Casos!D26</x:f>
        <x:v>2631.73</x:v>
      </x:c>
      <x:c r="E16" s="1"/>
      <x:c r="F16" s="1"/>
      <x:c r="G16" s="1"/>
      <x:c r="H16" s="1"/>
    </x:row>
    <x:row r="17" ht="58" customHeight="1">
      <x:c r="A17" s="5" t="str">
        <x:v>EsSalud</x:v>
      </x:c>
      <x:c r="B17" s="5" t="str">
        <x:v>El empleador aporta 9% del total, sin restarlo al trabajador.</x:v>
      </x:c>
      <x:c r="C17" s="5" t="str">
        <x:v>=ROUND(3253*9%,2)</x:v>
      </x:c>
      <x:c r="D17" s="16" t="n">
        <x:f>Casos!D27</x:f>
        <x:v>292.77</x:v>
      </x:c>
      <x:c r="E17" s="1"/>
      <x:c r="F17" s="1"/>
      <x:c r="G17" s="1"/>
      <x:c r="H17" s="1"/>
    </x:row>
    <x:row r="18" ht="58" customHeight="1">
      <x:c r="A18" s="5" t="str">
        <x:v>Costo empleador</x:v>
      </x:c>
      <x:c r="B18" s="5" t="str">
        <x:v>Suma remuneraciones y EsSalud.</x:v>
      </x:c>
      <x:c r="C18" s="5" t="str">
        <x:v>=3253+292.77</x:v>
      </x:c>
      <x:c r="D18" s="16" t="n">
        <x:f>Casos!D28</x:f>
        <x:v>3545.77</x:v>
      </x:c>
      <x:c r="E18" s="1"/>
      <x:c r="F18" s="1"/>
      <x:c r="G18" s="1"/>
      <x:c r="H18" s="1"/>
    </x:row>
    <x:row r="19" ht="58" customHeight="1">
      <x:c r="A19" s="5"/>
      <x:c r="B19" s="5"/>
      <x:c r="C19" s="5"/>
      <x:c r="D19" s="16"/>
      <x:c r="E19" s="1"/>
      <x:c r="F19" s="1"/>
      <x:c r="G19" s="1"/>
      <x:c r="H19" s="1"/>
    </x:row>
    <x:row r="20" ht="58" customHeight="1">
      <x:c r="A20" s="5"/>
      <x:c r="B20" s="5"/>
      <x:c r="C20" s="5"/>
      <x:c r="D20" s="16"/>
      <x:c r="E20" s="1"/>
      <x:c r="F20" s="1"/>
      <x:c r="G20" s="1"/>
      <x:c r="H20" s="1"/>
    </x:row>
    <x:row r="21" ht="58" customHeight="1">
      <x:c r="A21" s="6" t="str">
        <x:v>Preguntas de análisis</x:v>
      </x:c>
      <x:c r="B21" s="6"/>
      <x:c r="C21" s="6"/>
      <x:c r="D21" s="17"/>
      <x:c r="E21" s="1"/>
      <x:c r="F21" s="1"/>
      <x:c r="G21" s="1"/>
      <x:c r="H21" s="1"/>
    </x:row>
    <x:row r="22" ht="58" customHeight="1">
      <x:c r="A22" s="5"/>
      <x:c r="B22" s="5"/>
      <x:c r="C22" s="5"/>
      <x:c r="D22" s="16"/>
      <x:c r="E22" s="1"/>
      <x:c r="F22" s="1"/>
      <x:c r="G22" s="1"/>
      <x:c r="H22" s="1"/>
    </x:row>
    <x:row r="23" ht="58" customHeight="1">
      <x:c r="A23" s="5" t="str">
        <x:v>1. Neto con ONP</x:v>
      </x:c>
      <x:c r="B23" s="5" t="str">
        <x:v>Caso 3: total menos ONP y adelanto.</x:v>
      </x:c>
      <x:c r="C23" s="5" t="str"/>
      <x:c r="D23" s="16" t="n">
        <x:f>Casos!D17-ROUND(Casos!D17*'Parámetros'!B6,2)-Casos!D11</x:f>
        <x:v>2630.11</x:v>
      </x:c>
      <x:c r="E23" s="1"/>
      <x:c r="F23" s="1"/>
      <x:c r="G23" s="1"/>
      <x:c r="H23" s="1"/>
    </x:row>
    <x:row r="24" ht="58" customHeight="1">
      <x:c r="A24" s="5" t="str">
        <x:v>1. Neto con AFP Ejemplo</x:v>
      </x:c>
      <x:c r="B24" s="5" t="str">
        <x:v>AFP deja S/ 1.62 más este mes. La decisión también depende de cobertura, reglas de jubilación y comisiones.</x:v>
      </x:c>
      <x:c r="C24" s="5" t="str"/>
      <x:c r="D24" s="16" t="n">
        <x:f>Casos!D26</x:f>
        <x:v>2631.73</x:v>
      </x:c>
      <x:c r="E24" s="1"/>
      <x:c r="F24" s="1"/>
      <x:c r="G24" s="1"/>
      <x:c r="H24" s="1"/>
    </x:row>
    <x:row r="25" ht="58" customHeight="1">
      <x:c r="A25" s="5" t="str">
        <x:v>2. Costo real</x:v>
      </x:c>
      <x:c r="B25" s="5" t="str">
        <x:v>Remuneraciones más EsSalud. No incluye otros costos fuera del ejercicio.</x:v>
      </x:c>
      <x:c r="C25" s="5" t="str"/>
      <x:c r="D25" s="16" t="n">
        <x:f>Casos!D28</x:f>
        <x:v>3545.77</x:v>
      </x:c>
      <x:c r="E25" s="1"/>
      <x:c r="F25" s="1"/>
      <x:c r="G25" s="1"/>
      <x:c r="H25" s="1"/>
    </x:row>
    <x:row r="26" ht="58" customHeight="1">
      <x:c r="A26" s="5" t="str">
        <x:v>2. Neto / costo</x:v>
      </x:c>
      <x:c r="B26" s="5" t="str">
        <x:v>La proporción del costo que llega como neto es aproximadamente 74.22%.</x:v>
      </x:c>
      <x:c r="C26" s="5" t="str"/>
      <x:c r="D26" s="7" t="n">
        <x:f>Casos!D26/Casos!D28</x:f>
        <x:v>0.7422167822503998</x:v>
      </x:c>
      <x:c r="E26" s="1"/>
      <x:c r="F26" s="1"/>
      <x:c r="G26" s="1"/>
      <x:c r="H26" s="1"/>
    </x:row>
    <x:row r="27" ht="58" customHeight="1">
      <x:c r="A27" s="5" t="str">
        <x:v>3. Neto con 30 días</x:v>
      </x:c>
      <x:c r="B27" s="5" t="str">
        <x:v>El sueldo sube S/ 180 y ONP sube S/ 23.40. Neto sube S/ 156.60. La asignación se mantiene completa.</x:v>
      </x:c>
      <x:c r="C27" s="5" t="str"/>
      <x:c r="D27" s="16" t="n">
        <x:f>Casos!C4+'Parámetros'!B4*'Parámetros'!B5-ROUND((Casos!C4+'Parámetros'!B4*'Parámetros'!B5)*'Parámetros'!B6,2)</x:f>
        <x:v>1673.01</x:v>
      </x:c>
      <x:c r="E27" s="1"/>
      <x:c r="F27" s="1"/>
      <x:c r="G27" s="1"/>
      <x:c r="H27" s="1"/>
    </x:row>
    <x:row r="28" ht="58" customHeight="1">
      <x:c r="A28" s="5" t="str">
        <x:v>4. Horas extras / total</x:v>
      </x:c>
      <x:c r="B28" s="5" t="str">
        <x:v>S/ 130 de horas extras dividido entre S/ 3,253 de remuneraciones: aproximadamente 4%.</x:v>
      </x:c>
      <x:c r="C28" s="5" t="str"/>
      <x:c r="D28" s="7" t="n">
        <x:f>SUM(Casos!D15:D16)/Casos!D17</x:f>
        <x:v>0.03996311097448509</x:v>
      </x:c>
      <x:c r="E28" s="1"/>
      <x:c r="F28" s="1"/>
      <x:c r="G28" s="1"/>
      <x:c r="H28" s="1"/>
    </x:row>
    <x:row r="29" ht="58" customHeight="1">
      <x:c r="A29" s="5" t="str">
        <x:v>5. Oferta laboral</x:v>
      </x:c>
      <x:c r="B29" s="5" t="str">
        <x:v>Sueldo S/ 2,300, mes completo sin hijos, sin extras, AFP Prima sobre flujo. Se usa solo el sueldo publicado.</x:v>
      </x:c>
      <x:c r="C29" s="5" t="str"/>
      <x:c r="D29" s="16" t="n">
        <x:f>Casos!F26</x:f>
        <x:v>2001.69</x:v>
      </x:c>
      <x:c r="E29" s="1"/>
      <x:c r="F29" s="1"/>
      <x:c r="G29" s="1"/>
      <x:c r="H29" s="1"/>
    </x:row>
    <x:row r="30" ht="58" customHeight="1">
      <x:c r="A30" s="5" t="str">
        <x:v>5. Neto / bruto</x:v>
      </x:c>
      <x:c r="B30" s="5" t="str">
        <x:v>El neto equivale a 87.03% del bruto con las hipótesis indicadas.</x:v>
      </x:c>
      <x:c r="C30" s="5" t="str"/>
      <x:c r="D30" s="7" t="n">
        <x:f>Casos!F29</x:f>
        <x:v>0.8703000000000001</x:v>
      </x:c>
      <x:c r="E30" s="1"/>
      <x:c r="F30" s="1"/>
      <x:c r="G30" s="1"/>
      <x:c r="H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</x:row>
    <x:row r="33" ht="24" customHeight="1">
      <x:c r="A33" s="1" t="str">
        <x:v>Comparación con compañeros</x:v>
      </x:c>
      <x:c r="B33" s="5" t="str">
        <x:v>Completar G y H de Casos con sus sueldos y registrar sus enlaces. No se han recibido sus datos.</x:v>
      </x:c>
      <x:c r="C33" s="5"/>
      <x:c r="D33" s="5"/>
      <x:c r="E33" s="1"/>
      <x:c r="F33" s="1"/>
      <x:c r="G33" s="1"/>
      <x:c r="H33" s="1"/>
    </x:row>
    <x:row r="34" ht="24" customHeight="1">
      <x:c r="A34" s="1"/>
      <x:c r="B34" s="5"/>
      <x:c r="C34" s="5"/>
      <x:c r="D34" s="5"/>
      <x:c r="E34" s="1"/>
      <x:c r="F34" s="1"/>
      <x:c r="G34" s="1"/>
      <x:c r="H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</x:row>
    <x:row r="49" ht="24" customHeight="1">
      <x:c r="A49" s="1"/>
      <x:c r="B49" s="1"/>
      <x:c r="C49" s="1"/>
      <x:c r="D49" s="1"/>
      <x:c r="E49" s="1"/>
      <x:c r="F49" s="1"/>
      <x:c r="G49" s="1"/>
      <x:c r="H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</x:row>
    <x:row r="66" ht="24" customHeight="1">
      <x:c r="A66" s="1"/>
      <x:c r="B66" s="1"/>
      <x:c r="C66" s="1"/>
      <x:c r="D66" s="1"/>
      <x:c r="E66" s="1"/>
      <x:c r="F66" s="1"/>
      <x:c r="G66" s="1"/>
      <x:c r="H66" s="1"/>
    </x:row>
    <x:row r="67" ht="24" customHeight="1">
      <x:c r="A67" s="1"/>
      <x:c r="B67" s="1"/>
      <x:c r="C67" s="1"/>
      <x:c r="D67" s="1"/>
      <x:c r="E67" s="1"/>
      <x:c r="F67" s="1"/>
      <x:c r="G67" s="1"/>
      <x:c r="H67" s="1"/>
    </x:row>
    <x:row r="68" ht="24" customHeight="1">
      <x:c r="A68" s="1"/>
      <x:c r="B68" s="1"/>
      <x:c r="C68" s="1"/>
      <x:c r="D68" s="1"/>
      <x:c r="E68" s="1"/>
      <x:c r="F68" s="1"/>
      <x:c r="G68" s="1"/>
      <x:c r="H68" s="1"/>
    </x:row>
    <x:row r="69" ht="24" customHeight="1">
      <x:c r="A69" s="1"/>
      <x:c r="B69" s="1"/>
      <x:c r="C69" s="1"/>
      <x:c r="D69" s="1"/>
      <x:c r="E69" s="1"/>
      <x:c r="F69" s="1"/>
      <x:c r="G69" s="1"/>
      <x:c r="H69" s="1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</x:row>
  </x:sheetData>
  <x:mergeCells>
    <x:mergeCell ref="A1:D1"/>
    <x:mergeCell ref="A21:D21"/>
    <x:mergeCell ref="B33:D34"/>
  </x:mergeCells>
  <x:pageMargins left="0.7" right="0.7" top="0.75" bottom="0.75" header="0.3" footer="0.3"/>
</x:worksheet>
</file>